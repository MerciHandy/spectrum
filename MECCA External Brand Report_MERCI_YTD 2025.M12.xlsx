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jpeg" ContentType="image/jpeg"/>
  <Override PartName="/xl/styles.xml" ContentType="application/vnd.openxmlformats-officedocument.spreadsheetml.styles+xml"/>
  <Override PartName="/xl/drawings/drawing1.xml" ContentType="application/vnd.openxmlformats-officedocument.drawing+xml"/>
  <Default Extension="bin" ContentType="application/vnd.openxmlformats-officedocument.spreadsheetml.printerSettings"/>
  <Override PartName="/xl/customProperty1.bin" ContentType="application/vnd.openxmlformats-officedocument.spreadsheetml.customProperty"/>
  <Override PartName="/xl/customProperty2.bin" ContentType="application/vnd.openxmlformats-officedocument.spreadsheetml.customProperty"/>
  <Override PartName="/xl/worksheets/sheet1.xml" ContentType="application/vnd.openxmlformats-officedocument.spreadsheetml.worksheet+xml"/>
  <Override PartName="/xl/customProperty3.bin" ContentType="application/vnd.openxmlformats-officedocument.spreadsheetml.customProperty"/>
  <Override PartName="/xl/worksheets/sheet2.xml" ContentType="application/vnd.openxmlformats-officedocument.spreadsheetml.worksheet+xml"/>
  <Override PartName="/xl/customProperty4.bin" ContentType="application/vnd.openxmlformats-officedocument.spreadsheetml.customProperty"/>
  <Override PartName="/xl/worksheets/sheet3.xml" ContentType="application/vnd.openxmlformats-officedocument.spreadsheetml.worksheet+xml"/>
  <Override PartName="/xl/customProperty5.bin" ContentType="application/vnd.openxmlformats-officedocument.spreadsheetml.customProperty"/>
  <Override PartName="/xl/worksheets/sheet4.xml" ContentType="application/vnd.openxmlformats-officedocument.spreadsheetml.worksheet+xml"/>
  <Override PartName="/xl/customProperty6.bin" ContentType="application/vnd.openxmlformats-officedocument.spreadsheetml.customProperty"/>
  <Override PartName="/xl/worksheets/sheet5.xml" ContentType="application/vnd.openxmlformats-officedocument.spreadsheetml.worksheet+xml"/>
  <Override PartName="/xl/customProperty7.bin" ContentType="application/vnd.openxmlformats-officedocument.spreadsheetml.customProperty"/>
  <Override PartName="/xl/worksheets/sheet6.xml" ContentType="application/vnd.openxmlformats-officedocument.spreadsheetml.worksheet+xml"/>
  <Override PartName="/xl/customProperty8.bin" ContentType="application/vnd.openxmlformats-officedocument.spreadsheetml.customProperty"/>
  <Override PartName="/xl/worksheets/sheet7.xml" ContentType="application/vnd.openxmlformats-officedocument.spreadsheetml.worksheet+xml"/>
  <Override PartName="/xl/customProperty9.bin" ContentType="application/vnd.openxmlformats-officedocument.spreadsheetml.customProperty"/>
  <Override PartName="/xl/worksheets/sheet8.xml" ContentType="application/vnd.openxmlformats-officedocument.spreadsheetml.worksheet+xml"/>
  <Override PartName="/xl/customProperty10.bin" ContentType="application/vnd.openxmlformats-officedocument.spreadsheetml.customProperty"/>
  <Override PartName="/xl/worksheets/sheet9.xml" ContentType="application/vnd.openxmlformats-officedocument.spreadsheetml.worksheet+xml"/>
  <Override PartName="/xl/customProperty11.bin" ContentType="application/vnd.openxmlformats-officedocument.spreadsheetml.customProperty"/>
  <Override PartName="/xl/worksheets/sheet10.xml" ContentType="application/vnd.openxmlformats-officedocument.spreadsheetml.worksheet+xml"/>
  <Override PartName="/xl/customProperty12.bin" ContentType="application/vnd.openxmlformats-officedocument.spreadsheetml.customProperty"/>
  <Override PartName="/xl/worksheets/sheet1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9328" codeName="{DD97A8EA-9A9A-E61F-A557-7D5A7D7259CE}"/>
  <workbookPr codeName="ThisWorkbook"/>
  <mc:AlternateContent xmlns:mc="http://schemas.openxmlformats.org/markup-compatibility/2006">
    <mc:Choice Requires="x15">
      <x15ac:absPath xmlns:x15ac="http://schemas.microsoft.com/office/spreadsheetml/2010/11/ac" url="\\AS016WP\TM1Servers\Mecca\Reports\Brand Reports\"/>
    </mc:Choice>
  </mc:AlternateContent>
  <bookViews>
    <workbookView xWindow="-110" yWindow="-110" windowWidth="19420" windowHeight="10300" tabRatio="915" activeTab="0"/>
  </bookViews>
  <sheets>
    <sheet name="Master" sheetId="5" r:id="rId3"/>
    <sheet name="Performance Summary" sheetId="19" r:id="rId4"/>
    <sheet name="Performance Summary by Month" sheetId="20" r:id="rId5"/>
    <sheet name="Category Sales" sheetId="8" r:id="rId6"/>
    <sheet name="Top 20" sheetId="6" r:id="rId7"/>
    <sheet name="New Product Launch Month" sheetId="14" r:id="rId8"/>
    <sheet name="New Product YTD" sheetId="13" r:id="rId9"/>
    <sheet name="Operation Summary" sheetId="16" r:id="rId10"/>
    <sheet name="Appendix" sheetId="18" r:id="rId11"/>
    <sheet name="Item Sales" sheetId="9" r:id="rId12"/>
    <sheet name="Store Sales" sheetId="10" r:id="rId13"/>
  </sheets>
  <definedNames>
    <definedName name="ID" localSheetId="8" hidden="1">"af33482c-958a-4911-9b02-a297b249089b"</definedName>
    <definedName name="ID" localSheetId="3" hidden="1">"e5e2a25c-a9b2-4700-8e85-e83518fa61bf"</definedName>
    <definedName name="ID" localSheetId="9" hidden="1">"64fdc9be-60e6-45df-aaa9-39c505ec2e22"</definedName>
    <definedName name="ID" localSheetId="0" hidden="1">"97a1cbbd-4d13-42a2-8b40-a7bf90dcb5bd"</definedName>
    <definedName name="ID" localSheetId="5" hidden="1">"f21ff4cc-3c34-4d98-aa03-e68631bb7598"</definedName>
    <definedName name="ID" localSheetId="6" hidden="1">"629b71f1-0fa0-4c01-8b30-018404857999"</definedName>
    <definedName name="ID" localSheetId="7" hidden="1">"ce1aed76-999c-4b57-ae2a-fe288f415d6e"</definedName>
    <definedName name="ID" localSheetId="1" hidden="1">"ecee8989-71b0-4c12-a0fc-decbe8235c48"</definedName>
    <definedName name="ID" localSheetId="2" hidden="1">"825f5559-f56d-4776-9575-06bc0ae50163"</definedName>
    <definedName name="ID" localSheetId="10" hidden="1">"12956307-a346-427f-a69b-53c219a431ae"</definedName>
    <definedName name="ID" localSheetId="4" hidden="1">"282119df-8f7a-468b-abb1-1de16e4fc5a4"</definedName>
    <definedName name="_xlnm.Print_Area" localSheetId="8">Appendix!$A$1:$N$39</definedName>
    <definedName name="_xlnm.Print_Area" localSheetId="0">Master!$A$1:$N$39</definedName>
    <definedName name="_xlnm.Print_Titles" localSheetId="3">'Category Sales'!$25:$30</definedName>
    <definedName name="_xlnm.Print_Titles" localSheetId="9">'Item Sales'!$30:$32</definedName>
    <definedName name="_xlnm.Print_Titles" localSheetId="5">'New Product Launch Month'!$30:$31</definedName>
    <definedName name="_xlnm.Print_Titles" localSheetId="6">'New Product YTD'!$28:$30</definedName>
    <definedName name="_xlnm.Print_Titles" localSheetId="10">'Store Sales'!$34:$36</definedName>
    <definedName name="TM1REBUILDOPTION">0</definedName>
    <definedName name="TM1RPTDATARNG1" localSheetId="3">'Category Sales'!$31:$43</definedName>
    <definedName name="TM1RPTDATARNG1" localSheetId="1">'Performance Summary'!$35:$39</definedName>
    <definedName name="TM1RPTDATARNG1" localSheetId="2">'Performance Summary by Month'!$40:$44</definedName>
    <definedName name="TM1RPTDATARNG1" localSheetId="10">'Store Sales'!$37:$174</definedName>
    <definedName name="TM1RPTDATARNG2" localSheetId="9">'Item Sales'!$33:$62</definedName>
    <definedName name="TM1RPTDATARNG3" localSheetId="4">'Top 20'!$28:$47</definedName>
    <definedName name="TM1RPTDATARNG4" localSheetId="6">'New Product YTD'!$32:$43</definedName>
    <definedName name="TM1RPTDATARNG5" localSheetId="5">'New Product Launch Month'!$32:$32</definedName>
    <definedName name="TM1RPTDATARNGARPT1" localSheetId="10">'Store Sales'!$192:$221</definedName>
    <definedName name="TM1RPTDATARNGARPT2" localSheetId="1">'Performance Summary'!$71:$90</definedName>
    <definedName name="TM1RPTDATARNGARPT2" localSheetId="2">'Performance Summary by Month'!$69:$88</definedName>
    <definedName name="TM1RPTFMTIDCOL" localSheetId="3">'Category Sales'!$A$1:$A$8</definedName>
    <definedName name="TM1RPTFMTIDCOL" localSheetId="9">'Item Sales'!$A$1:$A$9</definedName>
    <definedName name="TM1RPTFMTIDCOL" localSheetId="5">'New Product Launch Month'!$A$1:$A$9</definedName>
    <definedName name="TM1RPTFMTIDCOL" localSheetId="6">'New Product YTD'!$A$1:$A$9</definedName>
    <definedName name="TM1RPTFMTIDCOL" localSheetId="1">'Performance Summary'!$A$1:$A$11</definedName>
    <definedName name="TM1RPTFMTIDCOL" localSheetId="2">'Performance Summary by Month'!$A$1:$A$13</definedName>
    <definedName name="TM1RPTFMTIDCOL" localSheetId="10">'Store Sales'!$A$1:$A$14</definedName>
    <definedName name="TM1RPTFMTIDCOL" localSheetId="4">'Top 20'!$A$1:$A$9</definedName>
    <definedName name="TM1RPTFMTRNG" localSheetId="3">'Category Sales'!$C$1:$AG$8</definedName>
    <definedName name="TM1RPTFMTRNG" localSheetId="9">'Item Sales'!$B$1:$AH$9</definedName>
    <definedName name="TM1RPTFMTRNG" localSheetId="5">'New Product Launch Month'!$B$1:$L$9</definedName>
    <definedName name="TM1RPTFMTRNG" localSheetId="6">'New Product YTD'!$B$1:$L$9</definedName>
    <definedName name="TM1RPTFMTRNG" localSheetId="1">'Performance Summary'!$C$1:$L$11</definedName>
    <definedName name="TM1RPTFMTRNG" localSheetId="2">'Performance Summary by Month'!$C$1:$T$13</definedName>
    <definedName name="TM1RPTFMTRNG" localSheetId="10">'Store Sales'!$D$1:$AG$14</definedName>
    <definedName name="TM1RPTFMTRNG" localSheetId="4">'Top 20'!$D$1:$J$9</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calcChain>
</file>

<file path=xl/sharedStrings.xml><?xml version="1.0" encoding="utf-8"?>
<sst xmlns="http://schemas.openxmlformats.org/spreadsheetml/2006/main" count="1896" uniqueCount="630">
  <si>
    <t>Currency</t>
  </si>
  <si>
    <t>Company</t>
  </si>
  <si>
    <t>RPT Item Store Sales Monthly Measure</t>
  </si>
  <si>
    <t>DCS</t>
  </si>
  <si>
    <t>Lifestage</t>
  </si>
  <si>
    <t>Item</t>
  </si>
  <si>
    <t>Brand</t>
  </si>
  <si>
    <t>Store</t>
  </si>
  <si>
    <t>Actual</t>
  </si>
  <si>
    <t>LY Actual</t>
  </si>
  <si>
    <t>D</t>
  </si>
  <si>
    <t>N</t>
  </si>
  <si>
    <t>[Begin Format Range]</t>
  </si>
  <si>
    <t>[End Format Range]</t>
  </si>
  <si>
    <t>YTD Period:</t>
  </si>
  <si>
    <t>Year</t>
  </si>
  <si>
    <t>Weeks in Month</t>
  </si>
  <si>
    <t>Month</t>
  </si>
  <si>
    <t>CUBE:</t>
  </si>
  <si>
    <t>Comp Sales Incl GST</t>
  </si>
  <si>
    <t>Sales Incl GST</t>
  </si>
  <si>
    <t>Trading As</t>
  </si>
  <si>
    <t>COMPANY TOTAL</t>
  </si>
  <si>
    <t>COMPANY SAME STORE SALES</t>
  </si>
  <si>
    <t>AV. SALES PER WEEK</t>
  </si>
  <si>
    <t>AUD</t>
  </si>
  <si>
    <t>Units</t>
  </si>
  <si>
    <t>Comp Units</t>
  </si>
  <si>
    <t>Total Sales Growth on LY %</t>
  </si>
  <si>
    <t>Total Units Growth on LY %</t>
  </si>
  <si>
    <t>Comp Sales Growth on LY %</t>
  </si>
  <si>
    <t>Comp Units Growth on LY %</t>
  </si>
  <si>
    <t>GROWTH ON LY ($ SALES)</t>
  </si>
  <si>
    <t>GROWTH ON LY (UNITS SOLD)</t>
  </si>
  <si>
    <t>SAME STORE GROWTH ON LY ($ SALES)</t>
  </si>
  <si>
    <t>SAME STORE GROWTH ON LY (UNITS SOLD)</t>
  </si>
  <si>
    <t>UNITS</t>
  </si>
  <si>
    <t>%</t>
  </si>
  <si>
    <t>BUSINESS</t>
  </si>
  <si>
    <t># Weeks Elapsed</t>
  </si>
  <si>
    <t xml:space="preserve">MECCA BRANDS BRAND PERFORMANCE REPORT </t>
  </si>
  <si>
    <t>YEAR TO DATE 5 YEAR PERFORMANCE SUMMARY</t>
  </si>
  <si>
    <t>YTD SALES PERFORMANCE SUMMARY</t>
  </si>
  <si>
    <t>G</t>
  </si>
  <si>
    <t>Total Growth on LY</t>
  </si>
  <si>
    <t>Total Store Sales</t>
  </si>
  <si>
    <t>YTD PERFORMANCE SUMMARY BY BUSINESS</t>
  </si>
  <si>
    <t>H</t>
  </si>
  <si>
    <t>MECCA BRANDS BRAND PERFORMANCE REPORT</t>
  </si>
  <si>
    <t>Total Units Sold</t>
  </si>
  <si>
    <t>Sales Version</t>
  </si>
  <si>
    <t>TOP 20 ITEMS TOTAL</t>
  </si>
  <si>
    <t>RANK</t>
  </si>
  <si>
    <t>PRODUCT DESCRIPTION</t>
  </si>
  <si>
    <t>TOTAL UNITS SOLD</t>
  </si>
  <si>
    <t>% UNITS SOLD</t>
  </si>
  <si>
    <t>TOTAL $ SALES (AUD)</t>
  </si>
  <si>
    <t>% SALES</t>
  </si>
  <si>
    <t>Filter:</t>
  </si>
  <si>
    <t>MECCA BRANDSBRAND PERFORMANCE REPORT</t>
  </si>
  <si>
    <t>YEAR TO DATE TOP 20 ITEMS</t>
  </si>
  <si>
    <t>J</t>
  </si>
  <si>
    <t>% of Total Department Sales</t>
  </si>
  <si>
    <t>$ SALES</t>
  </si>
  <si>
    <t>CATEGORY</t>
  </si>
  <si>
    <t>YTD CATEGORY SALES (AUD)</t>
  </si>
  <si>
    <t>YEAR TO DATE PRODUCT PERFORMANCE SUMMARY</t>
  </si>
  <si>
    <t>YTD Period</t>
  </si>
  <si>
    <t>YTD MONTH REF:</t>
  </si>
  <si>
    <t>$SALES</t>
  </si>
  <si>
    <t>VENDOR ITEM CODE</t>
  </si>
  <si>
    <t>Filter Reference:</t>
  </si>
  <si>
    <t>% of Total Brand Units</t>
  </si>
  <si>
    <t>% UNITS</t>
  </si>
  <si>
    <t>% of Total Brand Sales</t>
  </si>
  <si>
    <t>YEAR TO DATE PRODUCT PERFORMANCE BY ITEM</t>
  </si>
  <si>
    <t>YTD SALES PERFORMANCE BY ITEM (RANKED BY UNITS SOLD)</t>
  </si>
  <si>
    <t>CTL Retail Calendar Measure</t>
  </si>
  <si>
    <t>% ON LY</t>
  </si>
  <si>
    <t>Store % of Trading As Sales</t>
  </si>
  <si>
    <t>% SHARE</t>
  </si>
  <si>
    <t>YTD STORE SALES PERFORMANCE REPORT</t>
  </si>
  <si>
    <t># Weeks</t>
  </si>
  <si>
    <t>Filter Reference</t>
  </si>
  <si>
    <t>LAUNCH MONTH</t>
  </si>
  <si>
    <t>LAUNCH DATE</t>
  </si>
  <si>
    <t>ITEM DESCRIPTION</t>
  </si>
  <si>
    <t>Total Units Growth on LY</t>
  </si>
  <si>
    <t>Ave Units Per Week</t>
  </si>
  <si>
    <t>Ave Sales Per Week</t>
  </si>
  <si>
    <t>A</t>
  </si>
  <si>
    <t>B</t>
  </si>
  <si>
    <t>C</t>
  </si>
  <si>
    <t>E</t>
  </si>
  <si>
    <t>F</t>
  </si>
  <si>
    <t>DEFINITIONS:</t>
  </si>
  <si>
    <t>1. Total sales aggregate the actual sales that fell within the reporting period.</t>
  </si>
  <si>
    <t>2. Same store sales excludes sales from stores opened or closed in the last 12 months to allow a fair comparison to the year prior - i.e. a store opened part way through Sep 2014 will not be included until Oct 2015 as this is the first full month of trade; a store closed in part way through Aug 2014 will not be included from Aug 2014 onwards.</t>
  </si>
  <si>
    <t>4. Sales from NZ stores are converted using 1 AUD to 1.075 NZD.</t>
  </si>
  <si>
    <t>5. Same store growth on last year is calculated using the sales for the same reporting period last year excluding any stores that have been opened or closed in the last 12 months.</t>
  </si>
  <si>
    <t>6. Brand lead time is calculated as the total number of days from the date the order was placed (i.e. date on the C3 purchase order) to the promised receipt date (i.e. date when the order is ready for collection).</t>
  </si>
  <si>
    <t>7. Total lead time is calculated as the total number of days from the date the order was placed (i.e. date on the C3 purchase order) to the expected receipt date (i.e. date when the order arrives at C3 Warehouse).</t>
  </si>
  <si>
    <t>YTD NEW ITEMS TOTAL</t>
  </si>
  <si>
    <t>DEFINITIONS</t>
  </si>
  <si>
    <t>3. Sales from NZ stores are converted using 1 AUD to 1.075 NZD.</t>
  </si>
  <si>
    <t>4. Same store growth on last year is calculated using the sales for the same reporting period last year excluding any stores that have been opened or closed in the last 12 months.</t>
  </si>
  <si>
    <t>P</t>
  </si>
  <si>
    <t>PRIOR YEAR EQUIVALENT</t>
  </si>
  <si>
    <t>% Share</t>
  </si>
  <si>
    <t>R</t>
  </si>
  <si>
    <t>S</t>
  </si>
  <si>
    <t>NEW ITEMS TOTAL</t>
  </si>
  <si>
    <t>NEW PRODUCT PERFORMANCE REPORT</t>
  </si>
  <si>
    <t>3. Total growth on last year  is calculated using the sales for the same reporting period last year</t>
  </si>
  <si>
    <t>2. Total growth on last year is calculated using the sales for the same reporting period last year</t>
  </si>
  <si>
    <t xml:space="preserve">Sales Version </t>
  </si>
  <si>
    <t>Brands</t>
  </si>
  <si>
    <t>All Tester Items</t>
  </si>
  <si>
    <t>Brand Currency</t>
  </si>
  <si>
    <t>YEAR TO DATE OPERATIONAL PERFORMANCE SUMMARY</t>
  </si>
  <si>
    <t>Item Sales</t>
  </si>
  <si>
    <t>YTD TOTAL</t>
  </si>
  <si>
    <t>Total Sales ($ at Retail)</t>
  </si>
  <si>
    <t>ORDERED</t>
  </si>
  <si>
    <t>INVOICED</t>
  </si>
  <si>
    <t>FULFILMENT RATE</t>
  </si>
  <si>
    <t>Original Order Quantity</t>
  </si>
  <si>
    <t>TOTAL INVOICED</t>
  </si>
  <si>
    <t>% TESTERS OF TOTAL INVOICED ITEMS</t>
  </si>
  <si>
    <t>YTD TESTER CONSUMPTION SUMMARY</t>
  </si>
  <si>
    <t>Quantity</t>
  </si>
  <si>
    <t>TOTAL TESTER CONSUMED ($ AT RETAIL)</t>
  </si>
  <si>
    <t>% OF TOTAL SALES</t>
  </si>
  <si>
    <t>Total Stores by Concept Excl Non Store</t>
  </si>
  <si>
    <t>CHANGE IN</t>
  </si>
  <si>
    <t>SHARE GROWTH</t>
  </si>
  <si>
    <t>BRAND PERFORMANCE REPORT</t>
  </si>
  <si>
    <t>APPENDIX</t>
  </si>
  <si>
    <t>YTD STORE SALES BY CONCEPT</t>
  </si>
  <si>
    <t>YTD BRAND CLAIMS SUBMITTED SUMMARY</t>
  </si>
  <si>
    <t>TOTAL CLAIMS SUBMITTED</t>
  </si>
  <si>
    <t>% OF TOTAL INVOICED ITEMS</t>
  </si>
  <si>
    <t>TOTAL TESTER CONSUMED</t>
  </si>
  <si>
    <t>All Item</t>
  </si>
  <si>
    <t>Brand Claim Category</t>
  </si>
  <si>
    <t>All Brand Claim Category</t>
  </si>
  <si>
    <t>Profit Centre</t>
  </si>
  <si>
    <t>Total Stores</t>
  </si>
  <si>
    <t>Mecca: INP Brand Claim</t>
  </si>
  <si>
    <t>Actual Claim Amount</t>
  </si>
  <si>
    <t xml:space="preserve"> </t>
  </si>
  <si>
    <t>Original Order Direct Cost</t>
  </si>
  <si>
    <t>Report AUD</t>
  </si>
  <si>
    <t>Accepted Order Direct Cost</t>
  </si>
  <si>
    <t>Accepted Order Quantity</t>
  </si>
  <si>
    <t>2019 CAL</t>
  </si>
  <si>
    <t>All Fulfillment Items</t>
  </si>
  <si>
    <t>% OF TOTAL ORDERED ITEMS</t>
  </si>
  <si>
    <t>Actual Claim Quantity</t>
  </si>
  <si>
    <t>Ordered</t>
  </si>
  <si>
    <t>FX Rate</t>
  </si>
  <si>
    <t>Q1</t>
  </si>
  <si>
    <t>Q2</t>
  </si>
  <si>
    <t>Q3</t>
  </si>
  <si>
    <t>Q4</t>
  </si>
  <si>
    <t>All I Items</t>
  </si>
  <si>
    <t>QTR BRAND CLAIMS SUBMITTED SUMMARY</t>
  </si>
  <si>
    <t>Mecca: CTL Currency</t>
  </si>
  <si>
    <t xml:space="preserve">Version: </t>
  </si>
  <si>
    <t>Working Forecast</t>
  </si>
  <si>
    <t>Exchange Rate</t>
  </si>
  <si>
    <t xml:space="preserve">NOTE:  % of Ordered Items is the 'Total Claims Submitted' divided by Ordered Amount in AUD, converted from foreign currency using the FX rate above. </t>
  </si>
  <si>
    <t>CALENDAR YTD ORDERS AND FULFILMENT SUMMARY - LIVE</t>
  </si>
  <si>
    <t>CALENDAR YTD ORDERS AND FULFILMENT SUMMARY - TESTERS</t>
  </si>
  <si>
    <t>NOTE:  100% DIF brands will not have any testers fulfillment as live items will be converted to testers at the Mecca end</t>
  </si>
  <si>
    <t>COSMETICA</t>
  </si>
  <si>
    <t>Same Store Sales</t>
  </si>
  <si>
    <t>Same Store Growth on LY</t>
  </si>
  <si>
    <t>MAXIMA</t>
  </si>
  <si>
    <t>MECCA</t>
  </si>
  <si>
    <t>SIS</t>
  </si>
  <si>
    <t>DIRECT</t>
  </si>
  <si>
    <t>Body - Cleanser</t>
  </si>
  <si>
    <t>L069</t>
  </si>
  <si>
    <t>L067</t>
  </si>
  <si>
    <t>L066</t>
  </si>
  <si>
    <t>L065</t>
  </si>
  <si>
    <t>L064</t>
  </si>
  <si>
    <t>L061</t>
  </si>
  <si>
    <t>Maxima Stores Brand</t>
  </si>
  <si>
    <t>L110</t>
  </si>
  <si>
    <t>L104</t>
  </si>
  <si>
    <t>L056</t>
  </si>
  <si>
    <t>L053</t>
  </si>
  <si>
    <t>L052</t>
  </si>
  <si>
    <t>L051</t>
  </si>
  <si>
    <t>L050</t>
  </si>
  <si>
    <t>L048</t>
  </si>
  <si>
    <t>L045</t>
  </si>
  <si>
    <t>L044</t>
  </si>
  <si>
    <t>L043</t>
  </si>
  <si>
    <t>L042</t>
  </si>
  <si>
    <t>L041</t>
  </si>
  <si>
    <t>L033</t>
  </si>
  <si>
    <t>L019</t>
  </si>
  <si>
    <t>L018</t>
  </si>
  <si>
    <t>L017</t>
  </si>
  <si>
    <t>L016</t>
  </si>
  <si>
    <t>L006</t>
  </si>
  <si>
    <t>L002</t>
  </si>
  <si>
    <t>L001</t>
  </si>
  <si>
    <t>M105</t>
  </si>
  <si>
    <t>M101</t>
  </si>
  <si>
    <t>M038</t>
  </si>
  <si>
    <t>M036</t>
  </si>
  <si>
    <t>M029</t>
  </si>
  <si>
    <t>M020</t>
  </si>
  <si>
    <t>M013</t>
  </si>
  <si>
    <t>M008</t>
  </si>
  <si>
    <t>M004</t>
  </si>
  <si>
    <t>NOTE: Due to timing differences between the original order being submitted and the order being invoiced, the fulfilment rate for the most recently completed period may not be representative of the final fulfilment rate for that period</t>
  </si>
  <si>
    <t>NOTE: Tester consumption is the total of Testers provided to MECCA by the brand and Testers converted from Live at the MECCA end</t>
  </si>
  <si>
    <t>L055</t>
  </si>
  <si>
    <t>Fragrance</t>
  </si>
  <si>
    <t>L063</t>
  </si>
  <si>
    <t>L062</t>
  </si>
  <si>
    <t>L060</t>
  </si>
  <si>
    <t>L059</t>
  </si>
  <si>
    <t>L057</t>
  </si>
  <si>
    <t>L054</t>
  </si>
  <si>
    <t>L046</t>
  </si>
  <si>
    <t>L111</t>
  </si>
  <si>
    <t>L036</t>
  </si>
  <si>
    <t>Start Date</t>
  </si>
  <si>
    <t>End Date</t>
  </si>
  <si>
    <t>L035</t>
  </si>
  <si>
    <t>L015</t>
  </si>
  <si>
    <t>All Calendar Day</t>
  </si>
  <si>
    <t>Fragrance - Personal</t>
  </si>
  <si>
    <t>Body - Body Packs &amp; Sets</t>
  </si>
  <si>
    <t>Body - Hand &amp; Foot Care</t>
  </si>
  <si>
    <t>Body - Personal Care</t>
  </si>
  <si>
    <t>APR 2025</t>
  </si>
  <si>
    <t>Mecca Brands Consolidated</t>
  </si>
  <si>
    <t>FEB 2025</t>
  </si>
  <si>
    <t>All Store</t>
  </si>
  <si>
    <t>Mecca Concept Consolidated Excl Intl</t>
  </si>
  <si>
    <t>Consumption at Retail Price</t>
  </si>
  <si>
    <t>Body</t>
  </si>
  <si>
    <t>Body - Moisturiser</t>
  </si>
  <si>
    <t>L105</t>
  </si>
  <si>
    <t>L080</t>
  </si>
  <si>
    <t>L076</t>
  </si>
  <si>
    <t>L068</t>
  </si>
  <si>
    <t>L058</t>
  </si>
  <si>
    <t>L039</t>
  </si>
  <si>
    <t>L034</t>
  </si>
  <si>
    <t>L021</t>
  </si>
  <si>
    <t>L014</t>
  </si>
  <si>
    <t>L011</t>
  </si>
  <si>
    <t>L007</t>
  </si>
  <si>
    <t>Cosmetica Stores Brand</t>
  </si>
  <si>
    <t>M030</t>
  </si>
  <si>
    <t>M025</t>
  </si>
  <si>
    <t>MAY 2025</t>
  </si>
  <si>
    <t>3MORE</t>
  </si>
  <si>
    <t>JUN 2025</t>
  </si>
  <si>
    <t>JAN 2025</t>
  </si>
  <si>
    <t>December</t>
  </si>
  <si>
    <t>MAR 2025</t>
  </si>
  <si>
    <t>Mecca:RPT Item Store Sales Monthly</t>
  </si>
  <si>
    <t>All Trading As Excl SIGLINE</t>
  </si>
  <si>
    <t>Mecca:CTL Retail Calendar</t>
  </si>
  <si>
    <t>All Lifestage</t>
  </si>
  <si>
    <t>Mecca:RPT Item Store Sales Monthly:ARPT2</t>
  </si>
  <si>
    <t>Mecca:RPT Item Store Sales Monthly:1</t>
  </si>
  <si>
    <t>All DCS</t>
  </si>
  <si>
    <t>MERCI</t>
  </si>
  <si>
    <t>YTD 2025.M12</t>
  </si>
  <si>
    <t>L071</t>
  </si>
  <si>
    <t>L072</t>
  </si>
  <si>
    <t>L073</t>
  </si>
  <si>
    <t>L074</t>
  </si>
  <si>
    <t>L075</t>
  </si>
  <si>
    <t>L077</t>
  </si>
  <si>
    <t>L078</t>
  </si>
  <si>
    <t>L079</t>
  </si>
  <si>
    <t>L081</t>
  </si>
  <si>
    <t>L082</t>
  </si>
  <si>
    <t>L085</t>
  </si>
  <si>
    <t>L086</t>
  </si>
  <si>
    <t>L091</t>
  </si>
  <si>
    <t>L092</t>
  </si>
  <si>
    <t>L093</t>
  </si>
  <si>
    <t>L095</t>
  </si>
  <si>
    <t>L096</t>
  </si>
  <si>
    <t>L098</t>
  </si>
  <si>
    <t>L106</t>
  </si>
  <si>
    <t>L108</t>
  </si>
  <si>
    <t>L109</t>
  </si>
  <si>
    <t>L112</t>
  </si>
  <si>
    <t>L114</t>
  </si>
  <si>
    <t>L116</t>
  </si>
  <si>
    <t>L117</t>
  </si>
  <si>
    <t>L118</t>
  </si>
  <si>
    <t>L121</t>
  </si>
  <si>
    <t>L122</t>
  </si>
  <si>
    <t>L123</t>
  </si>
  <si>
    <t>L201</t>
  </si>
  <si>
    <t>L202</t>
  </si>
  <si>
    <t>L203</t>
  </si>
  <si>
    <t>L204</t>
  </si>
  <si>
    <t>L205</t>
  </si>
  <si>
    <t>L206</t>
  </si>
  <si>
    <t>L207</t>
  </si>
  <si>
    <t>L208</t>
  </si>
  <si>
    <t>L209</t>
  </si>
  <si>
    <t>L210</t>
  </si>
  <si>
    <t>L211</t>
  </si>
  <si>
    <t>L212</t>
  </si>
  <si>
    <t>L215</t>
  </si>
  <si>
    <t>L217</t>
  </si>
  <si>
    <t>L218</t>
  </si>
  <si>
    <t>L219</t>
  </si>
  <si>
    <t>L223</t>
  </si>
  <si>
    <t>L224</t>
  </si>
  <si>
    <t>L225</t>
  </si>
  <si>
    <t>L228</t>
  </si>
  <si>
    <t>L229</t>
  </si>
  <si>
    <t>L230</t>
  </si>
  <si>
    <t>L231</t>
  </si>
  <si>
    <t>L234</t>
  </si>
  <si>
    <t>L235</t>
  </si>
  <si>
    <t>L236</t>
  </si>
  <si>
    <t>L237</t>
  </si>
  <si>
    <t>L238</t>
  </si>
  <si>
    <t>L240</t>
  </si>
  <si>
    <t>L994</t>
  </si>
  <si>
    <t>L999</t>
  </si>
  <si>
    <t>Mecca Stores Brand</t>
  </si>
  <si>
    <t>M010</t>
  </si>
  <si>
    <t>M110</t>
  </si>
  <si>
    <t>M908</t>
  </si>
  <si>
    <t>Online Stores Brand</t>
  </si>
  <si>
    <t>L024</t>
  </si>
  <si>
    <t>L025</t>
  </si>
  <si>
    <t>L027</t>
  </si>
  <si>
    <t>L028</t>
  </si>
  <si>
    <t>L029</t>
  </si>
  <si>
    <t>L038</t>
  </si>
  <si>
    <t>M034</t>
  </si>
  <si>
    <t>SIS Stores Brand</t>
  </si>
  <si>
    <t>Brand Stores by Concept</t>
  </si>
  <si>
    <t>I-040423</t>
  </si>
  <si>
    <t>I-040425</t>
  </si>
  <si>
    <t>I-060353</t>
  </si>
  <si>
    <t>I-040426</t>
  </si>
  <si>
    <t>I-044748</t>
  </si>
  <si>
    <t>I-054934</t>
  </si>
  <si>
    <t>I-066437</t>
  </si>
  <si>
    <t>I-040427</t>
  </si>
  <si>
    <t>I-066438</t>
  </si>
  <si>
    <t>I-066436</t>
  </si>
  <si>
    <t>I-048194</t>
  </si>
  <si>
    <t>I-075721</t>
  </si>
  <si>
    <t>I-075723</t>
  </si>
  <si>
    <t>I-075728</t>
  </si>
  <si>
    <t>I-075729</t>
  </si>
  <si>
    <t>I-075724</t>
  </si>
  <si>
    <t>I-075727</t>
  </si>
  <si>
    <t>I-048195</t>
  </si>
  <si>
    <t>I-075725</t>
  </si>
  <si>
    <t>I-075719</t>
  </si>
  <si>
    <t>I-048193</t>
  </si>
  <si>
    <t>I-075722</t>
  </si>
  <si>
    <t>I-075720</t>
  </si>
  <si>
    <t>I-052296</t>
  </si>
  <si>
    <t>I-053320</t>
  </si>
  <si>
    <t>I-075730</t>
  </si>
  <si>
    <t>I-048701</t>
  </si>
  <si>
    <t>I-040424</t>
  </si>
  <si>
    <t>I-075726</t>
  </si>
  <si>
    <t>Skincare - Skin Accessories</t>
  </si>
  <si>
    <t>Skincare - Treatment</t>
  </si>
  <si>
    <t>Skincare</t>
  </si>
  <si>
    <t>Total DCS</t>
  </si>
  <si>
    <t>JUL 2025</t>
  </si>
  <si>
    <t>AUG 2025</t>
  </si>
  <si>
    <t>SEP 2025</t>
  </si>
  <si>
    <t>OCT 2025</t>
  </si>
  <si>
    <t>NOV 2025</t>
  </si>
  <si>
    <t>DEC 2025</t>
  </si>
  <si>
    <t>2024-12-29</t>
  </si>
  <si>
    <t>2025-01-26</t>
  </si>
  <si>
    <t>2025-02-23</t>
  </si>
  <si>
    <t>2025-03-30</t>
  </si>
  <si>
    <t>2025-04-27</t>
  </si>
  <si>
    <t>2025-05-25</t>
  </si>
  <si>
    <t>2025-06-29</t>
  </si>
  <si>
    <t>2025-07-27</t>
  </si>
  <si>
    <t>2025-08-24</t>
  </si>
  <si>
    <t>2025-09-28</t>
  </si>
  <si>
    <t>2025-10-26</t>
  </si>
  <si>
    <t>2025-11-23</t>
  </si>
  <si>
    <t>2025-01-25</t>
  </si>
  <si>
    <t>2025-02-22</t>
  </si>
  <si>
    <t>2025-03-29</t>
  </si>
  <si>
    <t>2025-04-26</t>
  </si>
  <si>
    <t>2025-05-24</t>
  </si>
  <si>
    <t>2025-06-28</t>
  </si>
  <si>
    <t>2025-07-26</t>
  </si>
  <si>
    <t>2025-08-23</t>
  </si>
  <si>
    <t>2025-09-27</t>
  </si>
  <si>
    <t>2025-10-25</t>
  </si>
  <si>
    <t>2025-11-22</t>
  </si>
  <si>
    <t>2025-12-27</t>
  </si>
  <si>
    <t>Body - Bath &amp; Body</t>
  </si>
  <si>
    <t>Mecca:RPT Item Store Sales Monthly:3</t>
  </si>
  <si>
    <t>Order(TOPCOUNT(Distinct({  }), 20, ([RPT Item Store Sales Monthly Measure].[Total Units Sold])), ([RPT Item Store Sales Monthly Measure].[Total Units Sold]), BDESC)</t>
  </si>
  <si>
    <t>I-060352</t>
  </si>
  <si>
    <t>SPOT PATCHES</t>
  </si>
  <si>
    <t>MH-PATCH-24-22</t>
  </si>
  <si>
    <t>HAND CLEANSING FLOWER POWER</t>
  </si>
  <si>
    <t>MH-GEL-30-FP-EU-19</t>
  </si>
  <si>
    <t>HAND CLEANSING UNICORN</t>
  </si>
  <si>
    <t>MH-GEL-30-UE-EU-19</t>
  </si>
  <si>
    <t>BLOTTING PAPER</t>
  </si>
  <si>
    <t>MH-PM-50-22</t>
  </si>
  <si>
    <t>HAND CLEANSING NAMASTE</t>
  </si>
  <si>
    <t>MH-GEL-30-NA-EU-19</t>
  </si>
  <si>
    <t>HAND CLEANS GLITTER FEVER</t>
  </si>
  <si>
    <t>MH-GEL-30-GF-EU-19</t>
  </si>
  <si>
    <t>GLITTER SET</t>
  </si>
  <si>
    <t>MH-KIT-GLI-20</t>
  </si>
  <si>
    <t>DEODORANT MOON 55G</t>
  </si>
  <si>
    <t>MH-DEO-MOON-55</t>
  </si>
  <si>
    <t>HAND CLEANSING HELLO SUN</t>
  </si>
  <si>
    <t>MH-GEL-30-HS-EU-19</t>
  </si>
  <si>
    <t>DEODORANT SUN 55G</t>
  </si>
  <si>
    <t>MH-DEO-SUN-55</t>
  </si>
  <si>
    <t>DEODORANT EARTH 55G</t>
  </si>
  <si>
    <t>MH-DEO-EARTH-55</t>
  </si>
  <si>
    <t>CLEANSING SPRAY PURIFYING</t>
  </si>
  <si>
    <t>MH-SPRAY-50-PUR-US</t>
  </si>
  <si>
    <t>BIKINI ARMPITS SERUM 90ML</t>
  </si>
  <si>
    <t>MH-BSERUM-90-BZ</t>
  </si>
  <si>
    <t>FRAGRANCE MIST MOON 100ML</t>
  </si>
  <si>
    <t>MH-BODYMIST-MO</t>
  </si>
  <si>
    <t>N HAND SANITISER - UNICORN</t>
  </si>
  <si>
    <t>MH-GEL-30-UE-US-19</t>
  </si>
  <si>
    <t>N HAND SANITISER - NAMASTE</t>
  </si>
  <si>
    <t>MH-GEL-30-NA-US-19</t>
  </si>
  <si>
    <t>FRAGRANCE MIST EARTH 100ML</t>
  </si>
  <si>
    <t>MH-BODYMIST-EA</t>
  </si>
  <si>
    <t>N HAND SANITISER - HELLO SUN</t>
  </si>
  <si>
    <t>MH-GEL-30-HS-US-19</t>
  </si>
  <si>
    <t>CLEANSING SPRAY ENERGIZING</t>
  </si>
  <si>
    <t>MH-SPRAY-50-ENE</t>
  </si>
  <si>
    <t>FRAGRANCE MIST SUN 100ML</t>
  </si>
  <si>
    <t>MH-BODYMIST-SU</t>
  </si>
  <si>
    <t>Mecca:RPT Item Store Sales Monthly:5</t>
  </si>
  <si>
    <t>Order(Distinct({  }), ([RPT Item Store Sales Monthly Measure].[Total Units Sold]), BDESC)</t>
  </si>
  <si>
    <t/>
  </si>
  <si>
    <t>Mecca:RPT Item Store Sales Monthly:4</t>
  </si>
  <si>
    <t>2025-07-01</t>
  </si>
  <si>
    <t>JULY</t>
  </si>
  <si>
    <t>2025-06-26</t>
  </si>
  <si>
    <t>JUNE</t>
  </si>
  <si>
    <t>2025-09-30</t>
  </si>
  <si>
    <t>OCTOBER</t>
  </si>
  <si>
    <t>MH-BSERUM-90-BB</t>
  </si>
  <si>
    <t>BODY SERUM BACK BUTT 90ML</t>
  </si>
  <si>
    <t>MH-BSERUM-90-BH</t>
  </si>
  <si>
    <t>BOOBS HIPS SERUM 90ML</t>
  </si>
  <si>
    <t>MH-BSERUM-90-KE</t>
  </si>
  <si>
    <t>KNEES ELBOWS SERUM 90ML</t>
  </si>
  <si>
    <t>MH-SPRAY-50-ENE-US</t>
  </si>
  <si>
    <t>N HAND SANITIZER SPRAY ENERG</t>
  </si>
  <si>
    <t>MH-GEL-30-FP-US-19</t>
  </si>
  <si>
    <t>N HAND SANITISER - FLOWER PO</t>
  </si>
  <si>
    <t>EUR</t>
  </si>
  <si>
    <t>Mecca:RPT Item Orders</t>
  </si>
  <si>
    <t>Mecca:RPT Tester Consumption</t>
  </si>
  <si>
    <t>Mecca:RPT Item Store Sales Monthly:2</t>
  </si>
  <si>
    <t>Order(Distinct({  }), ([Month].[YTD 2025.M12],[RPT Item Store Sales Monthly Measure].[Total Units Sold]), BDESC)</t>
  </si>
  <si>
    <t>CLEANSING SPRAY RELAXING</t>
  </si>
  <si>
    <t>MH-SPRAY-50-REL</t>
  </si>
  <si>
    <t>H21 SPACE RELAXING SET</t>
  </si>
  <si>
    <t>MH-KIT-SPA-XMAS21</t>
  </si>
  <si>
    <t>ENERGY SET</t>
  </si>
  <si>
    <t>MH-KIT-ENE-21</t>
  </si>
  <si>
    <t>HELLO SUNSHINE SOAP</t>
  </si>
  <si>
    <t>MH-SOAP-HS-20</t>
  </si>
  <si>
    <t>HAND CLEANSING CHERIE CHERRY</t>
  </si>
  <si>
    <t>MH-GEL-30-CC-EU-19</t>
  </si>
  <si>
    <t>All Trading As</t>
  </si>
  <si>
    <t>M001</t>
  </si>
  <si>
    <t>Cosmetica Toorak Rd</t>
  </si>
  <si>
    <t>Cosmetica Chadstone</t>
  </si>
  <si>
    <t>Cosmetica Claremont</t>
  </si>
  <si>
    <t>Cosmetica Queens Plaza</t>
  </si>
  <si>
    <t>Cosmetica Mosman</t>
  </si>
  <si>
    <t>Cosmetica Armadale</t>
  </si>
  <si>
    <t>Cosmetica Carlton</t>
  </si>
  <si>
    <t>Cosmetica Camberwell</t>
  </si>
  <si>
    <t>Cosmetica Miranda</t>
  </si>
  <si>
    <t>Cosmetica Pacific Fair</t>
  </si>
  <si>
    <t>Cosmetica Ponsonby</t>
  </si>
  <si>
    <t>Cosmetica Takapuna</t>
  </si>
  <si>
    <t>Maxima Melbourne Central</t>
  </si>
  <si>
    <t>Maxima Wintergarden</t>
  </si>
  <si>
    <t>Maxima Warringah</t>
  </si>
  <si>
    <t>Maxima Chatswood</t>
  </si>
  <si>
    <t>Maxima Chermside</t>
  </si>
  <si>
    <t>Maxima Macquarie Centre</t>
  </si>
  <si>
    <t>Maxima Bondi Junction</t>
  </si>
  <si>
    <t>Maxima Joondalup</t>
  </si>
  <si>
    <t>Maxima Burwood</t>
  </si>
  <si>
    <t>Maxima Miranda</t>
  </si>
  <si>
    <t>Maxima Liverpool</t>
  </si>
  <si>
    <t>Maxima Brisbane Airport</t>
  </si>
  <si>
    <t>Maxima Pacific Fair</t>
  </si>
  <si>
    <t>Maxima Charlestown</t>
  </si>
  <si>
    <t>Maxima Werribee POP</t>
  </si>
  <si>
    <t>Maxima Toowoomba POP</t>
  </si>
  <si>
    <t>Maxima Macarthur Square</t>
  </si>
  <si>
    <t>Maxima Carindale</t>
  </si>
  <si>
    <t>Maxima North Lakes</t>
  </si>
  <si>
    <t>Maxima Canberra</t>
  </si>
  <si>
    <t>Maxima Wollongong</t>
  </si>
  <si>
    <t>Maxima Marion POP</t>
  </si>
  <si>
    <t>Maxima Penrith</t>
  </si>
  <si>
    <t>Maxima Mandurah</t>
  </si>
  <si>
    <t>Maxima Hobart</t>
  </si>
  <si>
    <t>Maxima Erina Fair</t>
  </si>
  <si>
    <t>Maxima Burnside</t>
  </si>
  <si>
    <t>Maxima Indooroopilly</t>
  </si>
  <si>
    <t>Maxima Carousel POP</t>
  </si>
  <si>
    <t>Maxima Coomera</t>
  </si>
  <si>
    <t>Maxima Rouse Hill</t>
  </si>
  <si>
    <t>Maxima Watergardens POP</t>
  </si>
  <si>
    <t>Maxima Queensgate</t>
  </si>
  <si>
    <t>Maxima Albany</t>
  </si>
  <si>
    <t>Maxima Bayfair</t>
  </si>
  <si>
    <t>Maxima Botany Town Centre</t>
  </si>
  <si>
    <t>Mecca Bondi</t>
  </si>
  <si>
    <t>Mecca Rundle Mall</t>
  </si>
  <si>
    <t>Mecca Chatswood old</t>
  </si>
  <si>
    <t>Mecca Narellan</t>
  </si>
  <si>
    <t>Mecca Booragoon POP</t>
  </si>
  <si>
    <t>Mecca The Glen</t>
  </si>
  <si>
    <t>Mecca Forrest Chase Pop</t>
  </si>
  <si>
    <t>Mecca Sunshine Plaza (OLD)</t>
  </si>
  <si>
    <t>Mecca Fountain Gate</t>
  </si>
  <si>
    <t>Mecca Southland</t>
  </si>
  <si>
    <t>Mecca Kotara</t>
  </si>
  <si>
    <t>Mecca Parramatta</t>
  </si>
  <si>
    <t>Mecca Hornsby</t>
  </si>
  <si>
    <t>Mecca Brighton</t>
  </si>
  <si>
    <t>Mecca Melbourne Airport</t>
  </si>
  <si>
    <t>Mecca Sydney Airport</t>
  </si>
  <si>
    <t>Mecca Doncaster</t>
  </si>
  <si>
    <t>Mecca Mt Gravatt</t>
  </si>
  <si>
    <t>Mecca Eastgardens</t>
  </si>
  <si>
    <t>Mecca Hurstville</t>
  </si>
  <si>
    <t>Mecca Karrinyup</t>
  </si>
  <si>
    <t>Mecca Highpoint</t>
  </si>
  <si>
    <t>Mecca Robina</t>
  </si>
  <si>
    <t>Mecca Castle Towers</t>
  </si>
  <si>
    <t>Mecca George St</t>
  </si>
  <si>
    <t>Mecca Geelong</t>
  </si>
  <si>
    <t>Mecca Casuarina Square</t>
  </si>
  <si>
    <t>Mecca Eastland</t>
  </si>
  <si>
    <t>Mecca Broadway</t>
  </si>
  <si>
    <t>Mecca Sorrento</t>
  </si>
  <si>
    <t>Mecca Northland</t>
  </si>
  <si>
    <t>Mecca Bourke Street</t>
  </si>
  <si>
    <t>Mecca Newmarket</t>
  </si>
  <si>
    <t>Mecca Wellington</t>
  </si>
  <si>
    <t>Mecca Auckland</t>
  </si>
  <si>
    <t>Mecca Commercial Bay</t>
  </si>
  <si>
    <t>Mecca Sylvia Park</t>
  </si>
  <si>
    <t>Mecca Christchurch</t>
  </si>
  <si>
    <t>Mecca Hamilton</t>
  </si>
  <si>
    <t>Mecca Dunedin</t>
  </si>
  <si>
    <t>Mecca Dunedin POP</t>
  </si>
  <si>
    <t>Mecca Queensgate</t>
  </si>
  <si>
    <t>Mecca Bayfair</t>
  </si>
  <si>
    <t>Mecca Chadstone</t>
  </si>
  <si>
    <t>Mecca Subiaco</t>
  </si>
  <si>
    <t>Mecca Mosman</t>
  </si>
  <si>
    <t>Mecca Green Hills</t>
  </si>
  <si>
    <t>Mecca Tea Tree Plaza</t>
  </si>
  <si>
    <t>Mecca Knox</t>
  </si>
  <si>
    <t>Mecca Carousel</t>
  </si>
  <si>
    <t>Mecca Penrith</t>
  </si>
  <si>
    <t>Mecca Burwood</t>
  </si>
  <si>
    <t>Mecca Booragoon</t>
  </si>
  <si>
    <t>Mecca Charlestown</t>
  </si>
  <si>
    <t>Mecca Liverpool</t>
  </si>
  <si>
    <t>Mecca Marion</t>
  </si>
  <si>
    <t>Mecca Werribee</t>
  </si>
  <si>
    <t>Mecca Toowoomba</t>
  </si>
  <si>
    <t>Mecca Chatswood</t>
  </si>
  <si>
    <t>Mecca Rouse Hill</t>
  </si>
  <si>
    <t>Mecca Melbourne Central</t>
  </si>
  <si>
    <t>Mecca Burnside Village</t>
  </si>
  <si>
    <t>Mecca Sunshine Plaza</t>
  </si>
  <si>
    <t>Mecca Watergardens</t>
  </si>
  <si>
    <t>Mecca Mornington</t>
  </si>
  <si>
    <t>Melbourne Central Activation Space</t>
  </si>
  <si>
    <t>Mecca Adelaide Airport</t>
  </si>
  <si>
    <t>Mecca Cairns</t>
  </si>
  <si>
    <t>Mecca Canberra</t>
  </si>
  <si>
    <t>Mecca Chatswood Chase</t>
  </si>
  <si>
    <t>Mecca Balmain</t>
  </si>
  <si>
    <t>Mecca Mini Mart Highpoint</t>
  </si>
  <si>
    <t>Mecca Penrith Westfield POP</t>
  </si>
  <si>
    <t>Event 1 POP</t>
  </si>
  <si>
    <t>Internet Mail Order</t>
  </si>
  <si>
    <t>New Zealand Online Store</t>
  </si>
  <si>
    <t>Magic Circle</t>
  </si>
  <si>
    <t>Mecca Myer Chadstone</t>
  </si>
  <si>
    <t>Mecca Myer Chatswood</t>
  </si>
  <si>
    <t>Mecca Myer Perth</t>
  </si>
  <si>
    <t>Myer Melbourne</t>
  </si>
  <si>
    <t>Myer Sydney</t>
  </si>
  <si>
    <t>Mecca Myer Warringah</t>
  </si>
  <si>
    <t>Mecca Myer Adelaide</t>
  </si>
  <si>
    <t>Mecca:RPT Item Store Sales Monthly:ARPT1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</si>
</sst>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 #,##0_);_(* \(#,##0\);_(* &quot;-&quot;_);_(@_)"/>
    <numFmt numFmtId="165" formatCode="_(&quot;$&quot;* #,##0.00_);_(&quot;$&quot;* \(#,##0.00\);_(&quot;$&quot;* &quot;-&quot;??_);_(@_)"/>
    <numFmt numFmtId="166" formatCode="_(* #,##0.00_);_(* \(#,##0.00\);_(* &quot;-&quot;??_);_(@_)"/>
    <numFmt numFmtId="167" formatCode="_(&quot;$&quot;* #,##0_);_(&quot;$&quot;* \(#,##0\);_(&quot;$&quot;* &quot;-&quot;??_);_(@_)"/>
    <numFmt numFmtId="168" formatCode="0.0%"/>
    <numFmt numFmtId="169" formatCode="#,##0;\(#,##0\)"/>
    <numFmt numFmtId="170" formatCode="#.0%"/>
    <numFmt numFmtId="171" formatCode="&quot;- &quot;@"/>
    <numFmt numFmtId="172" formatCode="[$-C09]dd\-mmm\-yy;@"/>
    <numFmt numFmtId="173" formatCode="[$-F800]dddd\,\ mmmm\ dd\,\ yyyy"/>
    <numFmt numFmtId="174" formatCode="yyyy\-mm\-dd;@"/>
    <numFmt numFmtId="175" formatCode="_-&quot;$&quot;* #,##0_-;\-&quot;$&quot;* #,##0_-;_-&quot;$&quot;* &quot;-&quot;??_-;_-@_-"/>
    <numFmt numFmtId="176" formatCode="_-* #,##0_-;\-* #,##0_-;_-* &quot;-&quot;??_-;_-@_-"/>
    <numFmt numFmtId="177" formatCode="&quot;$&quot;#,##0"/>
    <numFmt numFmtId="178" formatCode="_(* #,##0_);_(* \(#,##0\);_(* &quot;-&quot;??_);_(@_)"/>
    <numFmt numFmtId="179" formatCode="#,##0.00_ ;\-#,##0.00\ "/>
    <numFmt numFmtId="180" formatCode="\-\ @"/>
    <numFmt numFmtId="181" formatCode="\+\ @"/>
  </numFmts>
  <fonts count="32">
    <font>
      <sz val="11"/>
      <color theme="1"/>
      <name val="Calibri"/>
      <family val="2"/>
      <scheme val="minor"/>
    </font>
    <font>
      <sz val="10"/>
      <color theme="1"/>
      <name val="Arial"/>
      <family val="2"/>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11"/>
      <name val="Calibri"/>
      <family val="2"/>
      <scheme val="minor"/>
    </font>
    <font>
      <sz val="11"/>
      <name val="Calibri"/>
      <family val="2"/>
      <scheme val="minor"/>
    </font>
    <font>
      <sz val="10"/>
      <color theme="1"/>
      <name val="Calibri"/>
      <family val="2"/>
      <scheme val="minor"/>
    </font>
    <font>
      <b/>
      <sz val="10"/>
      <color theme="1"/>
      <name val="Calibri"/>
      <family val="2"/>
      <scheme val="minor"/>
    </font>
    <font>
      <sz val="10"/>
      <color theme="0" tint="-0.499949991703033"/>
      <name val="Calibri"/>
      <family val="2"/>
      <scheme val="minor"/>
    </font>
    <font>
      <b/>
      <sz val="36"/>
      <color theme="1"/>
      <name val="Calibri"/>
      <family val="2"/>
      <scheme val="minor"/>
    </font>
    <font>
      <b/>
      <sz val="11"/>
      <color indexed="9"/>
      <name val="Calibri"/>
      <family val="2"/>
      <scheme val="minor"/>
    </font>
    <font>
      <b/>
      <sz val="9"/>
      <color theme="1"/>
      <name val="Calibri"/>
      <family val="2"/>
      <scheme val="minor"/>
    </font>
    <font>
      <b/>
      <sz val="11"/>
      <color theme="0" tint="-0.14996999502182"/>
      <name val="Calibri"/>
      <family val="2"/>
      <scheme val="minor"/>
    </font>
    <font>
      <b/>
      <sz val="10"/>
      <color theme="0"/>
      <name val="Calibri"/>
      <family val="2"/>
      <scheme val="minor"/>
    </font>
    <font>
      <sz val="10"/>
      <name val="Verdana"/>
      <family val="2"/>
    </font>
    <font>
      <b/>
      <sz val="8"/>
      <name val="Calibri"/>
      <family val="2"/>
      <scheme val="minor"/>
    </font>
    <font>
      <sz val="8"/>
      <name val="Calibri"/>
      <family val="2"/>
      <scheme val="minor"/>
    </font>
    <font>
      <b/>
      <sz val="24"/>
      <color indexed="9"/>
      <name val="Calibri"/>
      <family val="2"/>
      <scheme val="minor"/>
    </font>
    <font>
      <sz val="10"/>
      <color indexed="9"/>
      <name val="Calibri"/>
      <family val="2"/>
      <scheme val="minor"/>
    </font>
    <font>
      <sz val="10"/>
      <name val="Calibri"/>
      <family val="2"/>
      <scheme val="minor"/>
    </font>
    <font>
      <b/>
      <sz val="18"/>
      <name val="Calibri"/>
      <family val="2"/>
      <scheme val="minor"/>
    </font>
    <font>
      <b/>
      <sz val="10.5"/>
      <color rgb="FF165D81"/>
      <name val="Calibri"/>
      <family val="2"/>
    </font>
    <font>
      <b/>
      <sz val="10.5"/>
      <color theme="1" tint="0.249950006604195"/>
      <name val="Calibri"/>
      <family val="2"/>
    </font>
    <font>
      <b/>
      <sz val="10.5"/>
      <color theme="1" tint="0.349990010261536"/>
      <name val="Calibri"/>
      <family val="2"/>
    </font>
    <font>
      <b/>
      <sz val="10.5"/>
      <color theme="4"/>
      <name val="Calibri"/>
      <family val="2"/>
    </font>
    <font>
      <b/>
      <sz val="10.5"/>
      <color theme="7"/>
      <name val="Calibri"/>
      <family val="2"/>
    </font>
    <font>
      <b/>
      <sz val="10.5"/>
      <color theme="5" tint="0.399949997663498"/>
      <name val="Calibri"/>
      <family val="2"/>
    </font>
    <font>
      <b/>
      <sz val="10.5"/>
      <color rgb="FF336577"/>
      <name val="Calibri"/>
      <family val="2"/>
    </font>
    <font>
      <b/>
      <sz val="10.5"/>
      <color theme="6" tint="-0.24991999566555"/>
      <name val="Calibri"/>
      <family val="2"/>
    </font>
    <font>
      <b/>
      <sz val="10.5"/>
      <color theme="3" tint="0.399949997663498"/>
      <name val="Calibri"/>
      <family val="2"/>
    </font>
  </fonts>
  <fills count="15">
    <fill>
      <patternFill patternType="none"/>
    </fill>
    <fill>
      <patternFill patternType="gray125"/>
    </fill>
    <fill>
      <patternFill patternType="solid">
        <fgColor rgb="FFBED7A5"/>
        <bgColor indexed="64"/>
      </patternFill>
    </fill>
    <fill>
      <patternFill patternType="solid">
        <fgColor theme="8" tint="0.799979984760284"/>
        <bgColor indexed="64"/>
      </patternFill>
    </fill>
    <fill>
      <patternFill patternType="solid">
        <fgColor indexed="65"/>
        <bgColor indexed="64"/>
      </patternFill>
    </fill>
    <fill>
      <patternFill patternType="solid">
        <fgColor theme="1"/>
        <bgColor indexed="64"/>
      </patternFill>
    </fill>
    <fill>
      <patternFill patternType="solid">
        <fgColor theme="0" tint="-0.499949991703033"/>
        <bgColor indexed="64"/>
      </patternFill>
    </fill>
    <fill>
      <patternFill patternType="solid">
        <fgColor theme="0" tint="-0.24991999566555"/>
        <bgColor indexed="64"/>
      </patternFill>
    </fill>
    <fill>
      <patternFill patternType="solid">
        <fgColor theme="0" tint="-0.149939998984337"/>
        <bgColor indexed="64"/>
      </patternFill>
    </fill>
    <fill>
      <patternFill patternType="solid">
        <fgColor theme="0" tint="-0.349959999322891"/>
        <bgColor indexed="64"/>
      </patternFill>
    </fill>
    <fill>
      <patternFill patternType="solid">
        <fgColor theme="0" tint="-0.14996999502182"/>
        <bgColor indexed="64"/>
      </patternFill>
    </fill>
    <fill>
      <patternFill patternType="solid">
        <fgColor theme="0"/>
        <bgColor indexed="64"/>
      </patternFill>
    </fill>
    <fill>
      <patternFill patternType="solid">
        <fgColor indexed="18"/>
        <bgColor indexed="64"/>
      </patternFill>
    </fill>
    <fill>
      <patternFill patternType="solid">
        <fgColor theme="0" tint="-0.249950006604195"/>
        <bgColor indexed="64"/>
      </patternFill>
    </fill>
    <fill>
      <patternFill patternType="solid">
        <fgColor indexed="8"/>
        <bgColor indexed="64"/>
      </patternFill>
    </fill>
  </fills>
  <borders count="50">
    <border>
      <left/>
      <right/>
      <top/>
      <bottom/>
      <diagonal/>
    </border>
    <border>
      <left style="medium">
        <color theme="0" tint="-0.24991999566555"/>
      </left>
      <right style="medium">
        <color theme="0" tint="-0.24991999566555"/>
      </right>
      <top style="medium">
        <color theme="0" tint="-0.24991999566555"/>
      </top>
      <bottom style="medium">
        <color theme="0" tint="-0.24991999566555"/>
      </bottom>
    </border>
    <border>
      <left style="thin">
        <color theme="0" tint="-0.24991999566555"/>
      </left>
      <right style="thin">
        <color theme="0" tint="-0.24991999566555"/>
      </right>
      <top/>
      <bottom/>
    </border>
    <border>
      <left style="thin">
        <color theme="0" tint="-0.24991999566555"/>
      </left>
      <right style="medium">
        <color theme="0" tint="-0.24991999566555"/>
      </right>
      <top style="thin">
        <color theme="0" tint="-0.24991999566555"/>
      </top>
      <bottom style="thin">
        <color theme="0" tint="-0.24991999566555"/>
      </bottom>
    </border>
    <border>
      <left style="thin">
        <color theme="0" tint="-0.24991999566555"/>
      </left>
      <right style="thin">
        <color theme="0" tint="-0.24991999566555"/>
      </right>
      <top style="thin">
        <color theme="0" tint="-0.24991999566555"/>
      </top>
      <bottom style="medium">
        <color theme="0" tint="-0.24991999566555"/>
      </bottom>
    </border>
    <border>
      <left style="thin">
        <color theme="0" tint="-0.24991999566555"/>
      </left>
      <right style="thin">
        <color theme="0" tint="-0.24991999566555"/>
      </right>
      <top style="thin">
        <color theme="0" tint="-0.24991999566555"/>
      </top>
      <bottom style="thin">
        <color theme="0" tint="-0.24991999566555"/>
      </bottom>
    </border>
    <border>
      <left style="thin">
        <color theme="0"/>
      </left>
      <right style="thin">
        <color theme="0"/>
      </right>
      <top style="thin">
        <color theme="0"/>
      </top>
      <bottom style="thin">
        <color theme="0"/>
      </bottom>
    </border>
    <border>
      <left style="thin">
        <color auto="1"/>
      </left>
      <right style="thin">
        <color auto="1"/>
      </right>
      <top/>
      <bottom/>
    </border>
    <border>
      <left style="thin">
        <color auto="1"/>
      </left>
      <right/>
      <top/>
      <bottom/>
    </border>
    <border>
      <left/>
      <right/>
      <top style="thin">
        <color auto="1"/>
      </top>
      <bottom/>
    </border>
    <border>
      <left/>
      <right style="thin">
        <color auto="1"/>
      </right>
      <top style="thin">
        <color auto="1"/>
      </top>
      <bottom/>
    </border>
    <border>
      <left style="thin">
        <color auto="1"/>
      </left>
      <right style="thin">
        <color auto="1"/>
      </right>
      <top style="thin">
        <color auto="1"/>
      </top>
      <bottom/>
    </border>
    <border>
      <left style="thin">
        <color auto="1"/>
      </left>
      <right style="thin">
        <color auto="1"/>
      </right>
      <top style="thin">
        <color auto="1"/>
      </top>
      <bottom style="thin">
        <color auto="1"/>
      </bottom>
    </border>
    <border>
      <left/>
      <right style="thin">
        <color auto="1"/>
      </right>
      <top/>
      <bottom/>
    </border>
    <border>
      <left style="thin">
        <color auto="1"/>
      </left>
      <right/>
      <top style="thin">
        <color auto="1"/>
      </top>
      <bottom/>
    </border>
    <border>
      <left/>
      <right style="thin">
        <color auto="1"/>
      </right>
      <top/>
      <bottom style="thin">
        <color auto="1"/>
      </bottom>
    </border>
    <border>
      <left/>
      <right/>
      <top/>
      <bottom style="thin">
        <color auto="1"/>
      </bottom>
    </border>
    <border>
      <left style="thin">
        <color auto="1"/>
      </left>
      <right style="thin">
        <color auto="1"/>
      </right>
      <top/>
      <bottom style="thin">
        <color auto="1"/>
      </bottom>
    </border>
    <border>
      <left style="thin">
        <color auto="1"/>
      </left>
      <right/>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style="thin">
        <color auto="1"/>
      </top>
      <bottom style="thin">
        <color auto="1"/>
      </bottom>
    </border>
    <border>
      <left/>
      <right style="thin">
        <color theme="0"/>
      </right>
      <top style="thin">
        <color auto="1"/>
      </top>
      <bottom style="thin">
        <color theme="0"/>
      </bottom>
    </border>
    <border>
      <left style="thin">
        <color auto="1"/>
      </left>
      <right style="thin">
        <color theme="0"/>
      </right>
      <top style="thin">
        <color auto="1"/>
      </top>
      <bottom/>
    </border>
    <border>
      <left style="thin">
        <color auto="1"/>
      </left>
      <right style="thin">
        <color theme="0"/>
      </right>
      <top style="thin">
        <color theme="0"/>
      </top>
      <bottom style="thin">
        <color theme="0"/>
      </bottom>
    </border>
    <border>
      <left style="thin">
        <color theme="0"/>
      </left>
      <right/>
      <top style="thin">
        <color theme="0"/>
      </top>
      <bottom style="thin">
        <color theme="0"/>
      </bottom>
    </border>
    <border>
      <left/>
      <right style="thin">
        <color theme="0"/>
      </right>
      <top style="thin">
        <color theme="0"/>
      </top>
      <bottom style="thin">
        <color theme="0"/>
      </bottom>
    </border>
    <border>
      <left/>
      <right style="thin">
        <color theme="0"/>
      </right>
      <top/>
      <bottom style="thin">
        <color auto="1"/>
      </bottom>
    </border>
    <border>
      <left style="thin">
        <color theme="0"/>
      </left>
      <right style="thin">
        <color theme="1"/>
      </right>
      <top style="thin">
        <color auto="1"/>
      </top>
      <bottom style="thin">
        <color theme="0"/>
      </bottom>
    </border>
    <border>
      <left style="thin">
        <color auto="1"/>
      </left>
      <right/>
      <top style="thin">
        <color theme="0"/>
      </top>
      <bottom style="thin">
        <color theme="0"/>
      </bottom>
    </border>
    <border>
      <left style="thin">
        <color auto="1"/>
      </left>
      <right style="thin">
        <color theme="0"/>
      </right>
      <top style="thin">
        <color theme="0"/>
      </top>
      <bottom/>
    </border>
    <border>
      <left/>
      <right style="thin">
        <color theme="0"/>
      </right>
      <top style="thin">
        <color theme="0"/>
      </top>
      <bottom/>
    </border>
    <border>
      <left style="thin">
        <color theme="0"/>
      </left>
      <right style="thin">
        <color theme="0"/>
      </right>
      <top style="thin">
        <color theme="0"/>
      </top>
      <bottom/>
    </border>
    <border>
      <left style="thin">
        <color theme="0"/>
      </left>
      <right/>
      <top style="thin">
        <color theme="0"/>
      </top>
      <bottom/>
    </border>
    <border>
      <left/>
      <right/>
      <top style="thin">
        <color theme="0"/>
      </top>
      <bottom style="thin">
        <color theme="0"/>
      </bottom>
    </border>
    <border>
      <left style="thin">
        <color auto="1"/>
      </left>
      <right style="thin">
        <color theme="0"/>
      </right>
      <top style="thin">
        <color auto="1"/>
      </top>
      <bottom style="thin">
        <color theme="0"/>
      </bottom>
    </border>
    <border>
      <left style="thin">
        <color theme="0"/>
      </left>
      <right/>
      <top style="thin">
        <color auto="1"/>
      </top>
      <bottom style="thin">
        <color theme="0"/>
      </bottom>
    </border>
    <border>
      <left style="thin">
        <color theme="0"/>
      </left>
      <right style="thin">
        <color theme="0"/>
      </right>
      <top/>
      <bottom/>
    </border>
    <border>
      <left style="thin">
        <color theme="0"/>
      </left>
      <right style="thin">
        <color auto="1"/>
      </right>
      <top/>
      <bottom/>
    </border>
    <border>
      <left style="thin">
        <color theme="0"/>
      </left>
      <right style="thin">
        <color theme="0"/>
      </right>
      <top style="thin">
        <color auto="1"/>
      </top>
      <bottom style="thin">
        <color theme="0"/>
      </bottom>
    </border>
    <border>
      <left/>
      <right style="thin">
        <color theme="0"/>
      </right>
      <top/>
      <bottom style="thin">
        <color theme="0"/>
      </bottom>
    </border>
    <border>
      <left style="thin">
        <color theme="0"/>
      </left>
      <right style="thin">
        <color theme="0"/>
      </right>
      <top/>
      <bottom style="thin">
        <color theme="0"/>
      </bottom>
    </border>
    <border>
      <left/>
      <right/>
      <top style="thin">
        <color auto="1"/>
      </top>
      <bottom style="thin">
        <color theme="0"/>
      </bottom>
    </border>
    <border>
      <left/>
      <right style="thin">
        <color auto="1"/>
      </right>
      <top style="thin">
        <color auto="1"/>
      </top>
      <bottom style="thin">
        <color theme="0"/>
      </bottom>
    </border>
    <border>
      <left/>
      <right style="thin">
        <color theme="0"/>
      </right>
      <top style="thin">
        <color auto="1"/>
      </top>
      <bottom/>
    </border>
    <border>
      <left style="thin">
        <color theme="0"/>
      </left>
      <right style="thin">
        <color theme="0"/>
      </right>
      <top style="thin">
        <color auto="1"/>
      </top>
      <bottom/>
    </border>
    <border>
      <left/>
      <right/>
      <top style="thin">
        <color theme="0"/>
      </top>
      <bottom/>
    </border>
    <border>
      <left/>
      <right style="thin">
        <color auto="1"/>
      </right>
      <top style="thin">
        <color theme="0"/>
      </top>
      <bottom/>
    </border>
    <border>
      <left style="thin">
        <color theme="0"/>
      </left>
      <right style="thin">
        <color auto="1"/>
      </right>
      <top style="thin">
        <color theme="0"/>
      </top>
      <bottom style="thin">
        <color theme="0"/>
      </bottom>
    </border>
    <border>
      <left style="thin">
        <color theme="0"/>
      </left>
      <right style="thin">
        <color auto="1"/>
      </right>
      <top style="thin">
        <color auto="1"/>
      </top>
      <bottom style="thin">
        <color theme="0"/>
      </bottom>
    </border>
  </borders>
  <cellStyleXfs count="8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0" fillId="0" borderId="0" applyFont="0" applyFill="0" applyBorder="0" applyAlignment="0" applyProtection="0"/>
    <xf numFmtId="165" fontId="0" fillId="0" borderId="0" applyFont="0" applyFill="0" applyBorder="0" applyAlignment="0" applyProtection="0"/>
    <xf numFmtId="42" fontId="1" fillId="0" borderId="0" applyFont="0" applyFill="0" applyBorder="0" applyAlignment="0" applyProtection="0"/>
    <xf numFmtId="166" fontId="0" fillId="0" borderId="0" applyFont="0" applyFill="0" applyBorder="0" applyAlignment="0" applyProtection="0"/>
    <xf numFmtId="41" fontId="1" fillId="0" borderId="0" applyFont="0" applyFill="0" applyBorder="0" applyAlignment="0" applyProtection="0"/>
    <xf numFmtId="0" fontId="16" fillId="0" borderId="0">
      <alignment/>
      <protection/>
    </xf>
    <xf numFmtId="166" fontId="16" fillId="0" borderId="0" applyFont="0" applyFill="0" applyBorder="0" applyAlignment="0" applyProtection="0"/>
    <xf numFmtId="165" fontId="16" fillId="0" borderId="0" applyFont="0" applyFill="0" applyBorder="0" applyAlignment="0" applyProtection="0"/>
    <xf numFmtId="9" fontId="16" fillId="0" borderId="0" applyFont="0" applyFill="0" applyBorder="0" applyAlignment="0" applyProtection="0"/>
    <xf numFmtId="166" fontId="16" fillId="0" borderId="0" applyFont="0" applyFill="0" applyBorder="0" applyAlignment="0" applyProtection="0"/>
    <xf numFmtId="165" fontId="16" fillId="0" borderId="0" applyFont="0" applyFill="0" applyBorder="0" applyAlignment="0" applyProtection="0"/>
    <xf numFmtId="0" fontId="23" fillId="0" borderId="1" applyNumberFormat="0" applyFill="0" applyProtection="0">
      <alignment horizontal="center" vertical="center"/>
    </xf>
    <xf numFmtId="3" fontId="24" fillId="0" borderId="2" applyFont="0" applyFill="0" applyAlignment="0" applyProtection="0"/>
    <xf numFmtId="3" fontId="24" fillId="0" borderId="2" applyFont="0" applyFill="0" applyAlignment="0" applyProtection="0"/>
    <xf numFmtId="3" fontId="24" fillId="0" borderId="2" applyFont="0" applyFill="0" applyAlignment="0" applyProtection="0"/>
    <xf numFmtId="3" fontId="24" fillId="0" borderId="2" applyFont="0" applyFill="0" applyAlignment="0" applyProtection="0"/>
    <xf numFmtId="3" fontId="24" fillId="0" borderId="2" applyFont="0" applyFill="0" applyAlignment="0" applyProtection="0"/>
    <xf numFmtId="3" fontId="24" fillId="0" borderId="2" applyFont="0" applyFill="0" applyAlignment="0" applyProtection="0"/>
    <xf numFmtId="3" fontId="24" fillId="0" borderId="2" applyFont="0" applyFill="0" applyAlignment="0" applyProtection="0"/>
    <xf numFmtId="3" fontId="24" fillId="0" borderId="2" applyFont="0" applyFill="0" applyAlignment="0" applyProtection="0"/>
    <xf numFmtId="0" fontId="23" fillId="0" borderId="1" applyNumberFormat="0" applyFill="0" applyAlignment="0" applyProtection="0"/>
    <xf numFmtId="0" fontId="23" fillId="0" borderId="1" applyNumberFormat="0" applyFill="0" applyAlignment="0" applyProtection="0"/>
    <xf numFmtId="0" fontId="23" fillId="0" borderId="1" applyNumberFormat="0" applyFill="0" applyAlignment="0" applyProtection="0"/>
    <xf numFmtId="0" fontId="23" fillId="0" borderId="1" applyNumberFormat="0" applyFill="0" applyAlignment="0" applyProtection="0"/>
    <xf numFmtId="0" fontId="23" fillId="0" borderId="1" applyNumberFormat="0" applyFill="0" applyAlignment="0" applyProtection="0"/>
    <xf numFmtId="0" fontId="23" fillId="0" borderId="1" applyNumberFormat="0" applyFill="0" applyAlignment="0" applyProtection="0"/>
    <xf numFmtId="0" fontId="23" fillId="0" borderId="1" applyNumberFormat="0" applyFill="0" applyAlignment="0" applyProtection="0"/>
    <xf numFmtId="0" fontId="23" fillId="0" borderId="1" applyNumberFormat="0" applyFill="0" applyAlignment="0" applyProtection="0"/>
    <xf numFmtId="0" fontId="24" fillId="0" borderId="0" applyNumberFormat="0" applyBorder="0" applyAlignment="0" applyProtection="0"/>
    <xf numFmtId="0" fontId="24" fillId="0" borderId="0" applyNumberFormat="0" applyBorder="0" applyAlignment="0" applyProtection="0"/>
    <xf numFmtId="0" fontId="24" fillId="0" borderId="0" applyNumberFormat="0" applyBorder="0" applyAlignment="0" applyProtection="0"/>
    <xf numFmtId="0" fontId="24" fillId="0" borderId="0" applyNumberFormat="0" applyBorder="0" applyAlignment="0" applyProtection="0"/>
    <xf numFmtId="0" fontId="24" fillId="0" borderId="0" applyNumberFormat="0" applyBorder="0" applyAlignment="0" applyProtection="0"/>
    <xf numFmtId="0" fontId="24" fillId="0" borderId="2" applyNumberFormat="0" applyBorder="0" applyAlignment="0" applyProtection="0"/>
    <xf numFmtId="0" fontId="24" fillId="0" borderId="2" applyNumberFormat="0" applyBorder="0" applyAlignment="0" applyProtection="0"/>
    <xf numFmtId="0" fontId="24" fillId="0" borderId="2" applyNumberFormat="0" applyBorder="0" applyAlignment="0" applyProtection="0"/>
    <xf numFmtId="0" fontId="24" fillId="0" borderId="2" applyNumberFormat="0" applyFill="0" applyAlignment="0" applyProtection="0"/>
    <xf numFmtId="0" fontId="24" fillId="0" borderId="2" applyNumberFormat="0" applyFill="0" applyAlignment="0" applyProtection="0"/>
    <xf numFmtId="0" fontId="24" fillId="0" borderId="2">
      <alignment horizontal="right" vertical="center"/>
      <protection/>
    </xf>
    <xf numFmtId="3" fontId="24" fillId="2" borderId="2">
      <alignment horizontal="center" vertical="center"/>
      <protection/>
    </xf>
    <xf numFmtId="0" fontId="24" fillId="2" borderId="2">
      <alignment horizontal="right" vertical="center"/>
      <protection/>
    </xf>
    <xf numFmtId="0" fontId="23" fillId="0" borderId="3">
      <alignment horizontal="left" vertical="center"/>
      <protection/>
    </xf>
    <xf numFmtId="0" fontId="23" fillId="0" borderId="4">
      <alignment horizontal="center" vertical="center"/>
      <protection/>
    </xf>
    <xf numFmtId="0" fontId="25" fillId="0" borderId="5">
      <alignment horizontal="center" vertical="center"/>
      <protection/>
    </xf>
    <xf numFmtId="0" fontId="24" fillId="3" borderId="2">
      <alignment/>
      <protection/>
    </xf>
    <xf numFmtId="3" fontId="26" fillId="0" borderId="2">
      <alignment/>
      <protection/>
    </xf>
    <xf numFmtId="3" fontId="27" fillId="0" borderId="2">
      <alignment/>
      <protection/>
    </xf>
    <xf numFmtId="0" fontId="23" fillId="0" borderId="4">
      <alignment horizontal="left" vertical="top"/>
      <protection/>
    </xf>
    <xf numFmtId="0" fontId="28" fillId="0" borderId="2">
      <alignment/>
      <protection/>
    </xf>
    <xf numFmtId="0" fontId="23" fillId="0" borderId="4">
      <alignment horizontal="left" vertical="center"/>
      <protection/>
    </xf>
    <xf numFmtId="0" fontId="24" fillId="2" borderId="6">
      <alignment/>
      <protection/>
    </xf>
    <xf numFmtId="3" fontId="24" fillId="0" borderId="2">
      <alignment horizontal="right" vertical="center"/>
      <protection/>
    </xf>
    <xf numFmtId="0" fontId="23" fillId="0" borderId="4">
      <alignment horizontal="right" vertical="center"/>
      <protection/>
    </xf>
    <xf numFmtId="0" fontId="24" fillId="0" borderId="5">
      <alignment horizontal="center" vertical="center"/>
      <protection/>
    </xf>
    <xf numFmtId="3" fontId="24" fillId="0" borderId="2">
      <alignment/>
      <protection/>
    </xf>
    <xf numFmtId="3" fontId="24" fillId="0" borderId="2">
      <alignment/>
      <protection/>
    </xf>
    <xf numFmtId="0" fontId="24" fillId="0" borderId="5">
      <alignment horizontal="center" vertical="center" wrapText="1"/>
      <protection/>
    </xf>
    <xf numFmtId="0" fontId="29" fillId="0" borderId="5">
      <alignment horizontal="left" vertical="center" indent="1"/>
      <protection/>
    </xf>
    <xf numFmtId="0" fontId="30" fillId="0" borderId="2">
      <alignment/>
      <protection/>
    </xf>
    <xf numFmtId="0" fontId="23" fillId="0" borderId="3">
      <alignment horizontal="left" vertical="center"/>
      <protection/>
    </xf>
    <xf numFmtId="3" fontId="24" fillId="0" borderId="2">
      <alignment horizontal="center" vertical="center"/>
      <protection/>
    </xf>
    <xf numFmtId="0" fontId="23" fillId="0" borderId="4">
      <alignment horizontal="center" vertical="center"/>
      <protection/>
    </xf>
    <xf numFmtId="0" fontId="23" fillId="0" borderId="4">
      <alignment horizontal="center" vertical="center"/>
      <protection/>
    </xf>
    <xf numFmtId="0" fontId="23" fillId="0" borderId="3">
      <alignment horizontal="left" vertical="center"/>
      <protection/>
    </xf>
    <xf numFmtId="0" fontId="23" fillId="0" borderId="3">
      <alignment horizontal="left" vertical="center"/>
      <protection/>
    </xf>
    <xf numFmtId="0" fontId="31" fillId="0" borderId="2">
      <alignment/>
      <protection/>
    </xf>
  </cellStyleXfs>
  <cellXfs count="317">
    <xf numFmtId="0" fontId="0" fillId="0" borderId="0" xfId="0"/>
    <xf numFmtId="0" fontId="3" fillId="0" borderId="0" xfId="0" applyFont="1"/>
    <xf numFmtId="49" fontId="0" fillId="0" borderId="0" xfId="0" applyNumberFormat="1"/>
    <xf numFmtId="0" fontId="7" fillId="0" borderId="0" xfId="0" applyFont="1"/>
    <xf numFmtId="0" fontId="7" fillId="0" borderId="0" xfId="0" applyFont="1" applyAlignment="1">
      <alignment horizontal="center"/>
    </xf>
    <xf numFmtId="0" fontId="3" fillId="4" borderId="0" xfId="0" applyFont="1" applyFill="1"/>
    <xf numFmtId="0" fontId="2" fillId="5" borderId="0" xfId="0" applyFont="1" applyFill="1"/>
    <xf numFmtId="0" fontId="2" fillId="5" borderId="0" xfId="0" applyFont="1" applyFill="1" applyAlignment="1">
      <alignment horizontal="center"/>
    </xf>
    <xf numFmtId="167" fontId="8" fillId="0" borderId="7" xfId="0" applyNumberFormat="1" applyFont="1" applyBorder="1"/>
    <xf numFmtId="167" fontId="8" fillId="0" borderId="8" xfId="0" applyNumberFormat="1" applyFont="1" applyBorder="1"/>
    <xf numFmtId="164" fontId="8" fillId="0" borderId="7" xfId="0" applyNumberFormat="1" applyFont="1" applyBorder="1"/>
    <xf numFmtId="0" fontId="3" fillId="0" borderId="9" xfId="0" applyFont="1" applyBorder="1"/>
    <xf numFmtId="0" fontId="0" fillId="0" borderId="9" xfId="0" applyBorder="1"/>
    <xf numFmtId="3" fontId="9" fillId="0" borderId="0" xfId="0" applyNumberFormat="1" applyFont="1"/>
    <xf numFmtId="0" fontId="3" fillId="0" borderId="10" xfId="0" applyFont="1" applyBorder="1"/>
    <xf numFmtId="0" fontId="0" fillId="0" borderId="11" xfId="0" applyBorder="1"/>
    <xf numFmtId="0" fontId="0" fillId="5" borderId="0" xfId="0" applyFill="1"/>
    <xf numFmtId="0" fontId="4" fillId="5" borderId="0" xfId="0" applyFont="1" applyFill="1"/>
    <xf numFmtId="0" fontId="3" fillId="0" borderId="12" xfId="0" applyFont="1" applyBorder="1"/>
    <xf numFmtId="0" fontId="0" fillId="0" borderId="12" xfId="0" applyBorder="1"/>
    <xf numFmtId="168" fontId="8" fillId="0" borderId="7" xfId="0" applyNumberFormat="1" applyFont="1" applyBorder="1"/>
    <xf numFmtId="168" fontId="10" fillId="6" borderId="7" xfId="0" applyNumberFormat="1" applyFont="1" applyFill="1" applyBorder="1"/>
    <xf numFmtId="3" fontId="9" fillId="0" borderId="8" xfId="0" applyNumberFormat="1" applyFont="1" applyBorder="1"/>
    <xf numFmtId="3" fontId="9" fillId="0" borderId="13" xfId="0" applyNumberFormat="1" applyFont="1" applyBorder="1" applyAlignment="1">
      <alignment horizontal="center"/>
    </xf>
    <xf numFmtId="49" fontId="9" fillId="0" borderId="8" xfId="0" applyNumberFormat="1" applyFont="1" applyBorder="1"/>
    <xf numFmtId="0" fontId="3" fillId="0" borderId="14" xfId="0" applyFont="1" applyBorder="1"/>
    <xf numFmtId="0" fontId="9" fillId="0" borderId="13" xfId="0" applyFont="1" applyBorder="1" applyAlignment="1">
      <alignment horizontal="center"/>
    </xf>
    <xf numFmtId="0" fontId="9" fillId="0" borderId="15" xfId="0" applyFont="1" applyBorder="1" applyAlignment="1">
      <alignment horizontal="center"/>
    </xf>
    <xf numFmtId="0" fontId="9" fillId="0" borderId="10" xfId="0" applyFont="1" applyBorder="1" applyAlignment="1">
      <alignment horizontal="center"/>
    </xf>
    <xf numFmtId="0" fontId="3" fillId="0" borderId="16" xfId="0" applyFont="1" applyBorder="1"/>
    <xf numFmtId="168" fontId="8" fillId="0" borderId="17" xfId="0" applyNumberFormat="1" applyFont="1" applyBorder="1"/>
    <xf numFmtId="0" fontId="0" fillId="0" borderId="13" xfId="0" applyBorder="1"/>
    <xf numFmtId="0" fontId="9" fillId="0" borderId="8" xfId="0" applyFont="1" applyBorder="1"/>
    <xf numFmtId="0" fontId="9" fillId="0" borderId="18" xfId="0" applyFont="1" applyBorder="1"/>
    <xf numFmtId="0" fontId="9" fillId="0" borderId="14" xfId="0" applyFont="1" applyBorder="1"/>
    <xf numFmtId="0" fontId="11" fillId="0" borderId="0" xfId="0" applyFont="1"/>
    <xf numFmtId="0" fontId="0" fillId="7" borderId="19" xfId="0" applyFill="1" applyBorder="1"/>
    <xf numFmtId="0" fontId="3" fillId="7" borderId="12" xfId="0" applyFont="1" applyFill="1" applyBorder="1"/>
    <xf numFmtId="0" fontId="0" fillId="0" borderId="7" xfId="0" applyBorder="1"/>
    <xf numFmtId="0" fontId="2" fillId="0" borderId="0" xfId="0" applyFont="1"/>
    <xf numFmtId="0" fontId="6" fillId="0" borderId="0" xfId="0" applyFont="1"/>
    <xf numFmtId="0" fontId="3" fillId="0" borderId="20" xfId="0" applyFont="1" applyBorder="1"/>
    <xf numFmtId="0" fontId="6" fillId="0" borderId="12" xfId="0" applyFont="1" applyBorder="1" applyAlignment="1">
      <alignment horizontal="center"/>
    </xf>
    <xf numFmtId="3" fontId="9" fillId="0" borderId="14" xfId="0" applyNumberFormat="1" applyFont="1" applyBorder="1"/>
    <xf numFmtId="3" fontId="9" fillId="0" borderId="9" xfId="0" applyNumberFormat="1" applyFont="1" applyBorder="1"/>
    <xf numFmtId="3" fontId="9" fillId="0" borderId="10" xfId="0" applyNumberFormat="1" applyFont="1" applyBorder="1" applyAlignment="1">
      <alignment horizontal="center"/>
    </xf>
    <xf numFmtId="168" fontId="8" fillId="0" borderId="11" xfId="0" applyNumberFormat="1" applyFont="1" applyBorder="1"/>
    <xf numFmtId="49" fontId="9" fillId="0" borderId="14" xfId="0" applyNumberFormat="1" applyFont="1" applyBorder="1"/>
    <xf numFmtId="49" fontId="9" fillId="0" borderId="9" xfId="0" applyNumberFormat="1" applyFont="1" applyBorder="1"/>
    <xf numFmtId="167" fontId="8" fillId="0" borderId="11" xfId="0" applyNumberFormat="1" applyFont="1" applyBorder="1"/>
    <xf numFmtId="170" fontId="5" fillId="0" borderId="0" xfId="0" applyNumberFormat="1" applyFont="1"/>
    <xf numFmtId="169" fontId="5" fillId="0" borderId="0" xfId="0" applyNumberFormat="1" applyFont="1"/>
    <xf numFmtId="0" fontId="6" fillId="0" borderId="0" xfId="0" applyFont="1" applyAlignment="1">
      <alignment horizontal="center"/>
    </xf>
    <xf numFmtId="169" fontId="13" fillId="0" borderId="19" xfId="0" applyNumberFormat="1" applyFont="1" applyBorder="1"/>
    <xf numFmtId="170" fontId="13" fillId="0" borderId="19" xfId="0" applyNumberFormat="1" applyFont="1" applyBorder="1"/>
    <xf numFmtId="169" fontId="13" fillId="7" borderId="19" xfId="0" applyNumberFormat="1" applyFont="1" applyFill="1" applyBorder="1"/>
    <xf numFmtId="170" fontId="13" fillId="7" borderId="19" xfId="0" applyNumberFormat="1" applyFont="1" applyFill="1" applyBorder="1"/>
    <xf numFmtId="0" fontId="3" fillId="7" borderId="21" xfId="0" applyFont="1" applyFill="1" applyBorder="1"/>
    <xf numFmtId="0" fontId="3" fillId="0" borderId="21" xfId="0" applyFont="1" applyBorder="1"/>
    <xf numFmtId="0" fontId="0" fillId="0" borderId="8" xfId="0" applyBorder="1"/>
    <xf numFmtId="170" fontId="13" fillId="7" borderId="20" xfId="0" applyNumberFormat="1" applyFont="1" applyFill="1" applyBorder="1"/>
    <xf numFmtId="170" fontId="5" fillId="0" borderId="13" xfId="0" applyNumberFormat="1" applyFont="1" applyBorder="1"/>
    <xf numFmtId="0" fontId="4" fillId="0" borderId="0" xfId="0" applyFont="1"/>
    <xf numFmtId="3" fontId="5" fillId="0" borderId="7" xfId="0" applyNumberFormat="1" applyFont="1" applyBorder="1"/>
    <xf numFmtId="167" fontId="5" fillId="0" borderId="7" xfId="0" applyNumberFormat="1" applyFont="1" applyBorder="1"/>
    <xf numFmtId="167" fontId="8" fillId="0" borderId="17" xfId="0" applyNumberFormat="1" applyFont="1" applyBorder="1"/>
    <xf numFmtId="3" fontId="8" fillId="0" borderId="7" xfId="0" applyNumberFormat="1" applyFont="1" applyBorder="1"/>
    <xf numFmtId="3" fontId="8" fillId="0" borderId="17" xfId="0" applyNumberFormat="1" applyFont="1" applyBorder="1"/>
    <xf numFmtId="0" fontId="0" fillId="0" borderId="8" xfId="0" applyBorder="1" applyAlignment="1">
      <alignment horizontal="center"/>
    </xf>
    <xf numFmtId="168" fontId="13" fillId="8" borderId="7" xfId="0" applyNumberFormat="1" applyFont="1" applyFill="1" applyBorder="1"/>
    <xf numFmtId="167" fontId="5" fillId="0" borderId="13" xfId="0" applyNumberFormat="1" applyFont="1" applyBorder="1"/>
    <xf numFmtId="0" fontId="2" fillId="5" borderId="22" xfId="0" applyFont="1" applyFill="1" applyBorder="1" applyAlignment="1">
      <alignment wrapText="1"/>
    </xf>
    <xf numFmtId="0" fontId="12" fillId="9" borderId="8" xfId="0" applyFont="1" applyFill="1" applyBorder="1" applyAlignment="1">
      <alignment horizontal="center"/>
    </xf>
    <xf numFmtId="0" fontId="12" fillId="9" borderId="0" xfId="0" applyFont="1" applyFill="1" applyAlignment="1">
      <alignment horizontal="center"/>
    </xf>
    <xf numFmtId="0" fontId="12" fillId="9" borderId="13" xfId="0" applyFont="1" applyFill="1" applyBorder="1" applyAlignment="1">
      <alignment horizontal="center"/>
    </xf>
    <xf numFmtId="0" fontId="2" fillId="5" borderId="9" xfId="0" applyFont="1" applyFill="1" applyBorder="1" applyAlignment="1">
      <alignment wrapText="1"/>
    </xf>
    <xf numFmtId="0" fontId="0" fillId="0" borderId="0" xfId="0" applyAlignment="1">
      <alignment horizontal="center"/>
    </xf>
    <xf numFmtId="0" fontId="0" fillId="0" borderId="7" xfId="0" applyBorder="1" applyAlignment="1">
      <alignment horizontal="center"/>
    </xf>
    <xf numFmtId="0" fontId="2" fillId="0" borderId="0" xfId="0" applyFont="1" applyAlignment="1">
      <alignment horizontal="center"/>
    </xf>
    <xf numFmtId="0" fontId="2" fillId="5" borderId="14" xfId="0" applyFont="1" applyFill="1" applyBorder="1" applyAlignment="1">
      <alignment horizontal="center" wrapText="1"/>
    </xf>
    <xf numFmtId="0" fontId="0" fillId="0" borderId="12" xfId="0" applyBorder="1" applyAlignment="1">
      <alignment horizontal="center"/>
    </xf>
    <xf numFmtId="0" fontId="0" fillId="7" borderId="21" xfId="0" applyFill="1" applyBorder="1" applyAlignment="1">
      <alignment horizontal="center"/>
    </xf>
    <xf numFmtId="0" fontId="2" fillId="5" borderId="9" xfId="0" applyFont="1" applyFill="1" applyBorder="1" applyAlignment="1">
      <alignment horizontal="center" wrapText="1"/>
    </xf>
    <xf numFmtId="0" fontId="2" fillId="5" borderId="10" xfId="0" applyFont="1" applyFill="1" applyBorder="1" applyAlignment="1">
      <alignment horizontal="center" wrapText="1"/>
    </xf>
    <xf numFmtId="0" fontId="7" fillId="0" borderId="12" xfId="0" applyFont="1" applyBorder="1" applyAlignment="1">
      <alignment horizontal="center"/>
    </xf>
    <xf numFmtId="0" fontId="3" fillId="0" borderId="12" xfId="0" applyFont="1" applyBorder="1" applyAlignment="1">
      <alignment horizontal="center"/>
    </xf>
    <xf numFmtId="0" fontId="2" fillId="5" borderId="23" xfId="0" applyFont="1" applyFill="1" applyBorder="1" applyAlignment="1">
      <alignment horizontal="left"/>
    </xf>
    <xf numFmtId="0" fontId="2" fillId="5" borderId="10" xfId="0" applyFont="1" applyFill="1" applyBorder="1" applyAlignment="1">
      <alignment horizontal="center"/>
    </xf>
    <xf numFmtId="0" fontId="2" fillId="5" borderId="14" xfId="0" applyFont="1" applyFill="1" applyBorder="1"/>
    <xf numFmtId="0" fontId="2" fillId="5" borderId="9" xfId="0" applyFont="1" applyFill="1" applyBorder="1"/>
    <xf numFmtId="0" fontId="2" fillId="5" borderId="9" xfId="0" applyFont="1" applyFill="1" applyBorder="1" applyAlignment="1">
      <alignment horizontal="center"/>
    </xf>
    <xf numFmtId="0" fontId="2" fillId="6" borderId="8" xfId="0" applyFont="1" applyFill="1" applyBorder="1" applyAlignment="1">
      <alignment horizontal="center"/>
    </xf>
    <xf numFmtId="0" fontId="2" fillId="6" borderId="8" xfId="0" applyFont="1" applyFill="1" applyBorder="1" applyAlignment="1">
      <alignment horizontal="left"/>
    </xf>
    <xf numFmtId="165" fontId="8" fillId="0" borderId="17" xfId="0" applyNumberFormat="1" applyFont="1" applyBorder="1"/>
    <xf numFmtId="168" fontId="5" fillId="0" borderId="7" xfId="0" applyNumberFormat="1" applyFont="1" applyBorder="1"/>
    <xf numFmtId="167" fontId="13" fillId="10" borderId="7" xfId="0" applyNumberFormat="1" applyFont="1" applyFill="1" applyBorder="1"/>
    <xf numFmtId="0" fontId="12" fillId="9" borderId="7" xfId="0" applyFont="1" applyFill="1" applyBorder="1" applyAlignment="1">
      <alignment horizontal="center"/>
    </xf>
    <xf numFmtId="0" fontId="3" fillId="0" borderId="8" xfId="0" applyFont="1" applyBorder="1"/>
    <xf numFmtId="0" fontId="6" fillId="11" borderId="0" xfId="0" applyFont="1" applyFill="1" applyAlignment="1">
      <alignment horizontal="center"/>
    </xf>
    <xf numFmtId="0" fontId="2" fillId="5" borderId="0" xfId="0" applyFont="1" applyFill="1" applyAlignment="1">
      <alignment horizontal="left"/>
    </xf>
    <xf numFmtId="0" fontId="3" fillId="8" borderId="19" xfId="0" applyFont="1" applyFill="1" applyBorder="1"/>
    <xf numFmtId="167" fontId="13" fillId="8" borderId="12" xfId="0" applyNumberFormat="1" applyFont="1" applyFill="1" applyBorder="1"/>
    <xf numFmtId="168" fontId="13" fillId="8" borderId="12" xfId="0" applyNumberFormat="1" applyFont="1" applyFill="1" applyBorder="1"/>
    <xf numFmtId="0" fontId="12" fillId="6" borderId="24" xfId="0" applyFont="1" applyFill="1" applyBorder="1"/>
    <xf numFmtId="0" fontId="12" fillId="6" borderId="25" xfId="0" applyFont="1" applyFill="1" applyBorder="1"/>
    <xf numFmtId="3" fontId="5" fillId="0" borderId="0" xfId="0" applyNumberFormat="1" applyFont="1"/>
    <xf numFmtId="168" fontId="5" fillId="0" borderId="0" xfId="0" applyNumberFormat="1" applyFont="1"/>
    <xf numFmtId="167" fontId="5" fillId="0" borderId="0" xfId="0" applyNumberFormat="1" applyFont="1"/>
    <xf numFmtId="0" fontId="12" fillId="12" borderId="0" xfId="0" applyFont="1" applyFill="1" applyAlignment="1">
      <alignment horizontal="center"/>
    </xf>
    <xf numFmtId="0" fontId="12" fillId="6" borderId="26" xfId="0" applyFont="1" applyFill="1" applyBorder="1"/>
    <xf numFmtId="3" fontId="5" fillId="0" borderId="13" xfId="0" applyNumberFormat="1" applyFont="1" applyBorder="1"/>
    <xf numFmtId="168" fontId="5" fillId="0" borderId="13" xfId="0" applyNumberFormat="1" applyFont="1" applyBorder="1"/>
    <xf numFmtId="3" fontId="13" fillId="10" borderId="7" xfId="0" applyNumberFormat="1" applyFont="1" applyFill="1" applyBorder="1"/>
    <xf numFmtId="168" fontId="13" fillId="10" borderId="7" xfId="0" applyNumberFormat="1" applyFont="1" applyFill="1" applyBorder="1"/>
    <xf numFmtId="167" fontId="13" fillId="0" borderId="0" xfId="0" applyNumberFormat="1" applyFont="1"/>
    <xf numFmtId="3" fontId="13" fillId="0" borderId="0" xfId="0" applyNumberFormat="1" applyFont="1"/>
    <xf numFmtId="168" fontId="13" fillId="0" borderId="0" xfId="0" applyNumberFormat="1" applyFont="1"/>
    <xf numFmtId="0" fontId="0" fillId="0" borderId="16" xfId="0" applyBorder="1"/>
    <xf numFmtId="0" fontId="0" fillId="0" borderId="27" xfId="0" applyBorder="1"/>
    <xf numFmtId="0" fontId="0" fillId="0" borderId="18" xfId="0" applyBorder="1"/>
    <xf numFmtId="0" fontId="0" fillId="0" borderId="15" xfId="0" applyBorder="1"/>
    <xf numFmtId="168" fontId="5" fillId="0" borderId="16" xfId="0" applyNumberFormat="1" applyFont="1" applyBorder="1"/>
    <xf numFmtId="168" fontId="5" fillId="0" borderId="15" xfId="0" applyNumberFormat="1" applyFont="1" applyBorder="1"/>
    <xf numFmtId="168" fontId="13" fillId="10" borderId="17" xfId="0" applyNumberFormat="1" applyFont="1" applyFill="1" applyBorder="1"/>
    <xf numFmtId="0" fontId="2" fillId="0" borderId="26" xfId="0" applyFont="1" applyBorder="1"/>
    <xf numFmtId="0" fontId="2" fillId="5" borderId="28" xfId="0" applyFont="1" applyFill="1" applyBorder="1"/>
    <xf numFmtId="0" fontId="3" fillId="8" borderId="21" xfId="0" applyFont="1" applyFill="1" applyBorder="1"/>
    <xf numFmtId="0" fontId="3" fillId="8" borderId="20" xfId="0" applyFont="1" applyFill="1" applyBorder="1"/>
    <xf numFmtId="0" fontId="12" fillId="6" borderId="29" xfId="0" applyFont="1" applyFill="1" applyBorder="1"/>
    <xf numFmtId="0" fontId="8" fillId="0" borderId="0" xfId="0" applyFont="1"/>
    <xf numFmtId="0" fontId="15" fillId="5" borderId="30" xfId="0" applyFont="1" applyFill="1" applyBorder="1" applyAlignment="1">
      <alignment horizontal="center"/>
    </xf>
    <xf numFmtId="0" fontId="15" fillId="5" borderId="31" xfId="0" applyFont="1" applyFill="1" applyBorder="1" applyAlignment="1">
      <alignment horizontal="center"/>
    </xf>
    <xf numFmtId="0" fontId="15" fillId="5" borderId="32" xfId="0" applyFont="1" applyFill="1" applyBorder="1" applyAlignment="1">
      <alignment horizontal="center"/>
    </xf>
    <xf numFmtId="0" fontId="15" fillId="5" borderId="33" xfId="0" applyFont="1" applyFill="1" applyBorder="1" applyAlignment="1">
      <alignment horizontal="center"/>
    </xf>
    <xf numFmtId="168" fontId="3" fillId="7" borderId="12" xfId="0" applyNumberFormat="1" applyFont="1" applyFill="1" applyBorder="1"/>
    <xf numFmtId="167" fontId="3" fillId="7" borderId="12" xfId="0" applyNumberFormat="1" applyFont="1" applyFill="1" applyBorder="1"/>
    <xf numFmtId="3" fontId="3" fillId="7" borderId="12" xfId="0" applyNumberFormat="1" applyFont="1" applyFill="1" applyBorder="1"/>
    <xf numFmtId="0" fontId="17" fillId="0" borderId="0" xfId="20" applyFont="1" applyAlignment="1">
      <alignment vertical="center"/>
      <protection/>
    </xf>
    <xf numFmtId="0" fontId="18" fillId="0" borderId="0" xfId="20" applyFont="1" applyAlignment="1">
      <alignment vertical="top"/>
      <protection/>
    </xf>
    <xf numFmtId="168" fontId="5" fillId="0" borderId="18" xfId="0" applyNumberFormat="1" applyFont="1" applyBorder="1"/>
    <xf numFmtId="3" fontId="9" fillId="0" borderId="18" xfId="0" applyNumberFormat="1" applyFont="1" applyBorder="1"/>
    <xf numFmtId="3" fontId="9" fillId="0" borderId="16" xfId="0" applyNumberFormat="1" applyFont="1" applyBorder="1"/>
    <xf numFmtId="3" fontId="9" fillId="0" borderId="15" xfId="0" applyNumberFormat="1" applyFont="1" applyBorder="1" applyAlignment="1">
      <alignment horizontal="center"/>
    </xf>
    <xf numFmtId="168" fontId="10" fillId="6" borderId="17" xfId="0" applyNumberFormat="1" applyFont="1" applyFill="1" applyBorder="1"/>
    <xf numFmtId="0" fontId="0" fillId="0" borderId="17" xfId="0" applyBorder="1" applyAlignment="1">
      <alignment horizontal="center"/>
    </xf>
    <xf numFmtId="0" fontId="0" fillId="0" borderId="17" xfId="0" applyBorder="1"/>
    <xf numFmtId="0" fontId="0" fillId="0" borderId="18" xfId="0" applyBorder="1" applyAlignment="1">
      <alignment horizontal="center"/>
    </xf>
    <xf numFmtId="168" fontId="13" fillId="8" borderId="17" xfId="0" applyNumberFormat="1" applyFont="1" applyFill="1" applyBorder="1"/>
    <xf numFmtId="0" fontId="3" fillId="0" borderId="18" xfId="0" applyFont="1" applyBorder="1"/>
    <xf numFmtId="0" fontId="3" fillId="0" borderId="15" xfId="0" applyFont="1" applyBorder="1"/>
    <xf numFmtId="167" fontId="13" fillId="0" borderId="17" xfId="0" applyNumberFormat="1" applyFont="1" applyBorder="1"/>
    <xf numFmtId="168" fontId="13" fillId="0" borderId="17" xfId="0" applyNumberFormat="1" applyFont="1" applyBorder="1"/>
    <xf numFmtId="167" fontId="13" fillId="10" borderId="17" xfId="0" applyNumberFormat="1" applyFont="1" applyFill="1" applyBorder="1"/>
    <xf numFmtId="0" fontId="14" fillId="10" borderId="19" xfId="0" applyFont="1" applyFill="1" applyBorder="1"/>
    <xf numFmtId="49" fontId="0" fillId="0" borderId="0" xfId="0" applyNumberFormat="1" applyAlignment="1">
      <alignment horizontal="left" indent="2"/>
    </xf>
    <xf numFmtId="171" fontId="3" fillId="0" borderId="0" xfId="0" applyNumberFormat="1" applyFont="1"/>
    <xf numFmtId="167" fontId="8" fillId="0" borderId="0" xfId="0" applyNumberFormat="1" applyFont="1"/>
    <xf numFmtId="0" fontId="0" fillId="0" borderId="14" xfId="0" applyBorder="1"/>
    <xf numFmtId="0" fontId="2" fillId="0" borderId="8" xfId="0" applyFont="1" applyBorder="1" applyAlignment="1">
      <alignment horizontal="center"/>
    </xf>
    <xf numFmtId="0" fontId="2" fillId="0" borderId="8" xfId="0" applyFont="1" applyBorder="1"/>
    <xf numFmtId="167" fontId="9" fillId="13" borderId="7" xfId="0" applyNumberFormat="1" applyFont="1" applyFill="1" applyBorder="1"/>
    <xf numFmtId="167" fontId="9" fillId="13" borderId="11" xfId="0" applyNumberFormat="1" applyFont="1" applyFill="1" applyBorder="1"/>
    <xf numFmtId="168" fontId="9" fillId="13" borderId="17" xfId="0" applyNumberFormat="1" applyFont="1" applyFill="1" applyBorder="1"/>
    <xf numFmtId="168" fontId="9" fillId="13" borderId="7" xfId="0" applyNumberFormat="1" applyFont="1" applyFill="1" applyBorder="1"/>
    <xf numFmtId="168" fontId="8" fillId="0" borderId="0" xfId="0" applyNumberFormat="1" applyFont="1"/>
    <xf numFmtId="167" fontId="8" fillId="0" borderId="18" xfId="0" applyNumberFormat="1" applyFont="1" applyBorder="1"/>
    <xf numFmtId="3" fontId="8" fillId="0" borderId="8" xfId="0" applyNumberFormat="1" applyFont="1" applyBorder="1"/>
    <xf numFmtId="3" fontId="8" fillId="0" borderId="18" xfId="0" applyNumberFormat="1" applyFont="1" applyBorder="1"/>
    <xf numFmtId="168" fontId="8" fillId="0" borderId="14" xfId="0" applyNumberFormat="1" applyFont="1" applyBorder="1"/>
    <xf numFmtId="168" fontId="8" fillId="0" borderId="8" xfId="0" applyNumberFormat="1" applyFont="1" applyBorder="1"/>
    <xf numFmtId="168" fontId="8" fillId="0" borderId="18" xfId="0" applyNumberFormat="1" applyFont="1" applyBorder="1"/>
    <xf numFmtId="0" fontId="0" fillId="7" borderId="11" xfId="0" applyFill="1" applyBorder="1"/>
    <xf numFmtId="0" fontId="0" fillId="7" borderId="7" xfId="0" applyFill="1" applyBorder="1"/>
    <xf numFmtId="167" fontId="9" fillId="7" borderId="7" xfId="0" applyNumberFormat="1" applyFont="1" applyFill="1" applyBorder="1"/>
    <xf numFmtId="167" fontId="9" fillId="7" borderId="17" xfId="0" applyNumberFormat="1" applyFont="1" applyFill="1" applyBorder="1"/>
    <xf numFmtId="3" fontId="9" fillId="7" borderId="7" xfId="0" applyNumberFormat="1" applyFont="1" applyFill="1" applyBorder="1"/>
    <xf numFmtId="3" fontId="9" fillId="7" borderId="17" xfId="0" applyNumberFormat="1" applyFont="1" applyFill="1" applyBorder="1"/>
    <xf numFmtId="168" fontId="9" fillId="7" borderId="11" xfId="0" applyNumberFormat="1" applyFont="1" applyFill="1" applyBorder="1"/>
    <xf numFmtId="168" fontId="9" fillId="7" borderId="7" xfId="0" applyNumberFormat="1" applyFont="1" applyFill="1" applyBorder="1"/>
    <xf numFmtId="168" fontId="9" fillId="7" borderId="17" xfId="0" applyNumberFormat="1" applyFont="1" applyFill="1" applyBorder="1"/>
    <xf numFmtId="0" fontId="2" fillId="5" borderId="11" xfId="0" applyFont="1" applyFill="1" applyBorder="1" applyAlignment="1">
      <alignment horizontal="center"/>
    </xf>
    <xf numFmtId="168" fontId="9" fillId="0" borderId="13" xfId="0" applyNumberFormat="1" applyFont="1" applyBorder="1"/>
    <xf numFmtId="0" fontId="2" fillId="6" borderId="7" xfId="0" applyFont="1" applyFill="1" applyBorder="1" applyAlignment="1">
      <alignment horizontal="center"/>
    </xf>
    <xf numFmtId="0" fontId="6" fillId="0" borderId="0" xfId="0" applyFont="1" applyAlignment="1">
      <alignment horizontal="left"/>
    </xf>
    <xf numFmtId="168" fontId="9" fillId="0" borderId="17" xfId="0" applyNumberFormat="1" applyFont="1" applyBorder="1"/>
    <xf numFmtId="0" fontId="12" fillId="6" borderId="34" xfId="0" applyFont="1" applyFill="1" applyBorder="1" applyAlignment="1">
      <alignment horizontal="center"/>
    </xf>
    <xf numFmtId="0" fontId="12" fillId="6" borderId="26" xfId="0" applyFont="1" applyFill="1" applyBorder="1" applyAlignment="1">
      <alignment horizontal="center"/>
    </xf>
    <xf numFmtId="0" fontId="12" fillId="6" borderId="29" xfId="0" applyFont="1" applyFill="1" applyBorder="1" applyAlignment="1">
      <alignment horizontal="center"/>
    </xf>
    <xf numFmtId="0" fontId="2" fillId="5" borderId="35" xfId="0" applyFont="1" applyFill="1" applyBorder="1"/>
    <xf numFmtId="0" fontId="2" fillId="5" borderId="36" xfId="0" applyFont="1" applyFill="1" applyBorder="1"/>
    <xf numFmtId="173" fontId="3" fillId="0" borderId="0" xfId="0" applyNumberFormat="1" applyFont="1"/>
    <xf numFmtId="174" fontId="0" fillId="0" borderId="0" xfId="0" applyNumberFormat="1"/>
    <xf numFmtId="172" fontId="0" fillId="0" borderId="7" xfId="0" applyNumberFormat="1" applyBorder="1" applyAlignment="1">
      <alignment horizontal="left"/>
    </xf>
    <xf numFmtId="172" fontId="0" fillId="0" borderId="17" xfId="0" applyNumberFormat="1" applyBorder="1" applyAlignment="1">
      <alignment horizontal="left"/>
    </xf>
    <xf numFmtId="0" fontId="2" fillId="5" borderId="9" xfId="0" applyFont="1" applyFill="1" applyBorder="1" applyAlignment="1">
      <alignment horizontal="center" vertical="center" wrapText="1"/>
    </xf>
    <xf numFmtId="0" fontId="2" fillId="5" borderId="9" xfId="0" applyFont="1" applyFill="1" applyBorder="1" applyAlignment="1">
      <alignment horizontal="center" vertical="center"/>
    </xf>
    <xf numFmtId="0" fontId="2" fillId="5" borderId="10" xfId="0" applyFont="1" applyFill="1" applyBorder="1" applyAlignment="1">
      <alignment horizontal="center" vertical="center"/>
    </xf>
    <xf numFmtId="0" fontId="2" fillId="5" borderId="14" xfId="0" applyFont="1" applyFill="1" applyBorder="1" applyAlignment="1">
      <alignment horizontal="left"/>
    </xf>
    <xf numFmtId="0" fontId="2" fillId="5" borderId="9" xfId="0" applyFont="1" applyFill="1" applyBorder="1" applyAlignment="1">
      <alignment horizontal="left"/>
    </xf>
    <xf numFmtId="0" fontId="0" fillId="0" borderId="10" xfId="0" applyBorder="1"/>
    <xf numFmtId="49" fontId="0" fillId="0" borderId="14" xfId="0" applyNumberFormat="1" applyBorder="1"/>
    <xf numFmtId="49" fontId="0" fillId="0" borderId="10" xfId="0" applyNumberFormat="1" applyBorder="1"/>
    <xf numFmtId="167" fontId="5" fillId="0" borderId="14" xfId="0" applyNumberFormat="1" applyFont="1" applyBorder="1"/>
    <xf numFmtId="167" fontId="5" fillId="0" borderId="10" xfId="0" applyNumberFormat="1" applyFont="1" applyBorder="1"/>
    <xf numFmtId="167" fontId="5" fillId="0" borderId="9" xfId="0" applyNumberFormat="1" applyFont="1" applyBorder="1"/>
    <xf numFmtId="167" fontId="13" fillId="10" borderId="11" xfId="0" applyNumberFormat="1" applyFont="1" applyFill="1" applyBorder="1"/>
    <xf numFmtId="0" fontId="2" fillId="5" borderId="37" xfId="0" applyFont="1" applyFill="1" applyBorder="1" applyAlignment="1">
      <alignment horizontal="center"/>
    </xf>
    <xf numFmtId="175" fontId="0" fillId="0" borderId="7" xfId="16" applyNumberFormat="1" applyFont="1" applyBorder="1"/>
    <xf numFmtId="176" fontId="0" fillId="0" borderId="7" xfId="18" applyNumberFormat="1" applyFont="1" applyBorder="1"/>
    <xf numFmtId="0" fontId="0" fillId="0" borderId="15" xfId="0" applyBorder="1" applyAlignment="1">
      <alignment horizontal="center"/>
    </xf>
    <xf numFmtId="168" fontId="0" fillId="0" borderId="17" xfId="15" applyNumberFormat="1" applyFont="1" applyBorder="1"/>
    <xf numFmtId="0" fontId="0" fillId="0" borderId="13" xfId="0" applyBorder="1" applyAlignment="1">
      <alignment horizontal="center"/>
    </xf>
    <xf numFmtId="0" fontId="0" fillId="0" borderId="16" xfId="0" applyBorder="1" applyAlignment="1">
      <alignment horizontal="center"/>
    </xf>
    <xf numFmtId="168" fontId="0" fillId="0" borderId="7" xfId="15" applyNumberFormat="1" applyFont="1" applyBorder="1"/>
    <xf numFmtId="0" fontId="19" fillId="14" borderId="0" xfId="0" applyFont="1" applyFill="1" applyAlignment="1">
      <alignment vertical="center"/>
    </xf>
    <xf numFmtId="0" fontId="20" fillId="14" borderId="0" xfId="0" applyFont="1" applyFill="1"/>
    <xf numFmtId="0" fontId="21" fillId="0" borderId="0" xfId="0" applyFont="1"/>
    <xf numFmtId="0" fontId="22" fillId="0" borderId="0" xfId="0" applyFont="1"/>
    <xf numFmtId="0" fontId="2" fillId="5" borderId="17" xfId="0" applyFont="1" applyFill="1" applyBorder="1" applyAlignment="1">
      <alignment horizontal="center"/>
    </xf>
    <xf numFmtId="170" fontId="13" fillId="0" borderId="12" xfId="0" applyNumberFormat="1" applyFont="1" applyBorder="1"/>
    <xf numFmtId="170" fontId="5" fillId="0" borderId="7" xfId="0" applyNumberFormat="1" applyFont="1" applyBorder="1"/>
    <xf numFmtId="0" fontId="2" fillId="5" borderId="38" xfId="0" applyFont="1" applyFill="1" applyBorder="1" applyAlignment="1">
      <alignment horizontal="center"/>
    </xf>
    <xf numFmtId="0" fontId="0" fillId="0" borderId="0" xfId="0" applyAlignment="1">
      <alignment horizontal="left"/>
    </xf>
    <xf numFmtId="0" fontId="0" fillId="0" borderId="7" xfId="0" applyBorder="1" applyAlignment="1">
      <alignment horizontal="left"/>
    </xf>
    <xf numFmtId="0" fontId="0" fillId="0" borderId="17" xfId="0" applyBorder="1" applyAlignment="1">
      <alignment horizontal="left"/>
    </xf>
    <xf numFmtId="3" fontId="0" fillId="0" borderId="7" xfId="0" applyNumberFormat="1" applyBorder="1"/>
    <xf numFmtId="168" fontId="0" fillId="0" borderId="7" xfId="0" applyNumberFormat="1" applyBorder="1"/>
    <xf numFmtId="167" fontId="0" fillId="0" borderId="7" xfId="0" applyNumberFormat="1" applyBorder="1"/>
    <xf numFmtId="3" fontId="0" fillId="0" borderId="17" xfId="0" applyNumberFormat="1" applyBorder="1"/>
    <xf numFmtId="168" fontId="0" fillId="0" borderId="17" xfId="0" applyNumberFormat="1" applyBorder="1"/>
    <xf numFmtId="167" fontId="0" fillId="0" borderId="17" xfId="0" applyNumberFormat="1" applyBorder="1"/>
    <xf numFmtId="0" fontId="0" fillId="0" borderId="16" xfId="0" applyBorder="1" applyAlignment="1">
      <alignment horizontal="left"/>
    </xf>
    <xf numFmtId="3" fontId="3" fillId="8" borderId="7" xfId="0" applyNumberFormat="1" applyFont="1" applyFill="1" applyBorder="1"/>
    <xf numFmtId="168" fontId="3" fillId="8" borderId="7" xfId="0" applyNumberFormat="1" applyFont="1" applyFill="1" applyBorder="1"/>
    <xf numFmtId="167" fontId="3" fillId="8" borderId="7" xfId="0" applyNumberFormat="1" applyFont="1" applyFill="1" applyBorder="1"/>
    <xf numFmtId="3" fontId="3" fillId="8" borderId="17" xfId="0" applyNumberFormat="1" applyFont="1" applyFill="1" applyBorder="1"/>
    <xf numFmtId="168" fontId="3" fillId="8" borderId="17" xfId="0" applyNumberFormat="1" applyFont="1" applyFill="1" applyBorder="1"/>
    <xf numFmtId="167" fontId="3" fillId="8" borderId="17" xfId="0" applyNumberFormat="1" applyFont="1" applyFill="1" applyBorder="1"/>
    <xf numFmtId="10" fontId="0" fillId="0" borderId="0" xfId="0" applyNumberFormat="1"/>
    <xf numFmtId="176" fontId="0" fillId="0" borderId="0" xfId="18" applyNumberFormat="1" applyFont="1" applyBorder="1"/>
    <xf numFmtId="168" fontId="6" fillId="7" borderId="12" xfId="0" applyNumberFormat="1" applyFont="1" applyFill="1" applyBorder="1" applyAlignment="1">
      <alignment horizontal="right"/>
    </xf>
    <xf numFmtId="167" fontId="6" fillId="7" borderId="12" xfId="0" applyNumberFormat="1" applyFont="1" applyFill="1" applyBorder="1" applyAlignment="1">
      <alignment horizontal="right"/>
    </xf>
    <xf numFmtId="169" fontId="6" fillId="7" borderId="12" xfId="0" applyNumberFormat="1" applyFont="1" applyFill="1" applyBorder="1"/>
    <xf numFmtId="168" fontId="6" fillId="7" borderId="12" xfId="0" applyNumberFormat="1" applyFont="1" applyFill="1" applyBorder="1"/>
    <xf numFmtId="169" fontId="0" fillId="0" borderId="7" xfId="0" applyNumberFormat="1" applyBorder="1"/>
    <xf numFmtId="169" fontId="0" fillId="0" borderId="17" xfId="0" applyNumberFormat="1" applyBorder="1"/>
    <xf numFmtId="0" fontId="2" fillId="6" borderId="0" xfId="0" applyFont="1" applyFill="1" applyAlignment="1">
      <alignment horizontal="center"/>
    </xf>
    <xf numFmtId="0" fontId="2" fillId="6" borderId="13" xfId="0" applyFont="1" applyFill="1" applyBorder="1" applyAlignment="1">
      <alignment horizontal="center"/>
    </xf>
    <xf numFmtId="0" fontId="3" fillId="0" borderId="12" xfId="0" applyFont="1" applyBorder="1" applyAlignment="1">
      <alignment horizontal="left"/>
    </xf>
    <xf numFmtId="0" fontId="3" fillId="0" borderId="0" xfId="0" applyFont="1" applyAlignment="1">
      <alignment horizontal="left"/>
    </xf>
    <xf numFmtId="0" fontId="4" fillId="5" borderId="0" xfId="0" applyFont="1" applyFill="1" applyAlignment="1">
      <alignment horizontal="left"/>
    </xf>
    <xf numFmtId="0" fontId="4" fillId="0" borderId="0" xfId="0" applyFont="1" applyAlignment="1">
      <alignment horizontal="left"/>
    </xf>
    <xf numFmtId="0" fontId="3" fillId="7" borderId="12" xfId="0" applyFont="1" applyFill="1" applyBorder="1" applyAlignment="1">
      <alignment horizontal="left"/>
    </xf>
    <xf numFmtId="167" fontId="13" fillId="10" borderId="0" xfId="0" applyNumberFormat="1" applyFont="1" applyFill="1"/>
    <xf numFmtId="168" fontId="13" fillId="8" borderId="0" xfId="0" applyNumberFormat="1" applyFont="1" applyFill="1"/>
    <xf numFmtId="177" fontId="0" fillId="0" borderId="12" xfId="0" applyNumberFormat="1" applyBorder="1"/>
    <xf numFmtId="0" fontId="0" fillId="0" borderId="0" xfId="0" applyAlignment="1">
      <alignment horizontal="right"/>
    </xf>
    <xf numFmtId="0" fontId="0" fillId="0" borderId="13" xfId="0" applyBorder="1" applyAlignment="1">
      <alignment horizontal="right"/>
    </xf>
    <xf numFmtId="168" fontId="0" fillId="0" borderId="17" xfId="15" applyNumberFormat="1" applyFont="1" applyBorder="1" applyAlignment="1">
      <alignment horizontal="right"/>
    </xf>
    <xf numFmtId="0" fontId="0" fillId="0" borderId="18" xfId="0" applyBorder="1" applyAlignment="1">
      <alignment horizontal="left"/>
    </xf>
    <xf numFmtId="176" fontId="0" fillId="0" borderId="0" xfId="0" applyNumberFormat="1"/>
    <xf numFmtId="178" fontId="0" fillId="0" borderId="0" xfId="18" applyNumberFormat="1" applyFont="1" applyBorder="1"/>
    <xf numFmtId="168" fontId="0" fillId="0" borderId="0" xfId="15" applyNumberFormat="1" applyFont="1" applyBorder="1"/>
    <xf numFmtId="168" fontId="0" fillId="0" borderId="16" xfId="15" applyNumberFormat="1" applyFont="1" applyBorder="1"/>
    <xf numFmtId="168" fontId="0" fillId="0" borderId="18" xfId="15" applyNumberFormat="1" applyFont="1" applyBorder="1"/>
    <xf numFmtId="168" fontId="0" fillId="0" borderId="8" xfId="15" applyNumberFormat="1" applyFont="1" applyBorder="1"/>
    <xf numFmtId="179" fontId="0" fillId="0" borderId="12" xfId="16" applyNumberFormat="1" applyFont="1" applyBorder="1"/>
    <xf numFmtId="0" fontId="0" fillId="0" borderId="21" xfId="0" applyBorder="1"/>
    <xf numFmtId="179" fontId="0" fillId="0" borderId="20" xfId="16" applyNumberFormat="1" applyFont="1" applyBorder="1"/>
    <xf numFmtId="0" fontId="0" fillId="0" borderId="20" xfId="0" applyBorder="1"/>
    <xf numFmtId="176" fontId="0" fillId="11" borderId="0" xfId="18" applyNumberFormat="1" applyFont="1" applyFill="1" applyBorder="1"/>
    <xf numFmtId="178" fontId="0" fillId="0" borderId="0" xfId="18" applyNumberFormat="1" applyFont="1"/>
    <xf numFmtId="9" fontId="0" fillId="0" borderId="7" xfId="15" applyFont="1" applyBorder="1"/>
    <xf numFmtId="9" fontId="0" fillId="0" borderId="17" xfId="15" applyFont="1" applyBorder="1"/>
    <xf numFmtId="0" fontId="0" fillId="0" borderId="0" xfId="0" quotePrefix="1"/>
    <xf numFmtId="168" fontId="0" fillId="0" borderId="0" xfId="15" applyNumberFormat="1" applyFont="1" applyBorder="1" applyAlignment="1">
      <alignment horizontal="right"/>
    </xf>
    <xf numFmtId="49" fontId="9" fillId="0" borderId="0" xfId="0" applyNumberFormat="1" applyFont="1"/>
    <xf numFmtId="49" fontId="9" fillId="0" borderId="16" xfId="0" applyNumberFormat="1" applyFont="1" applyBorder="1"/>
    <xf numFmtId="49" fontId="0" fillId="0" borderId="13" xfId="0" applyNumberFormat="1" applyBorder="1"/>
    <xf numFmtId="49" fontId="0" fillId="0" borderId="15" xfId="0" applyNumberFormat="1" applyBorder="1"/>
    <xf numFmtId="175" fontId="0" fillId="0" borderId="8" xfId="16" applyNumberFormat="1" applyFont="1" applyBorder="1"/>
    <xf numFmtId="175" fontId="0" fillId="0" borderId="0" xfId="16" applyNumberFormat="1" applyFont="1" applyBorder="1"/>
    <xf numFmtId="0" fontId="0" fillId="0" borderId="10" xfId="0" applyBorder="1" applyAlignment="1">
      <alignment horizontal="center"/>
    </xf>
    <xf numFmtId="178" fontId="0" fillId="0" borderId="11" xfId="18" applyNumberFormat="1" applyFont="1" applyBorder="1"/>
    <xf numFmtId="178" fontId="0" fillId="0" borderId="14" xfId="18" applyNumberFormat="1" applyFont="1" applyBorder="1"/>
    <xf numFmtId="9" fontId="0" fillId="0" borderId="0" xfId="15" applyFont="1" applyBorder="1"/>
    <xf numFmtId="9" fontId="0" fillId="0" borderId="16" xfId="15" applyFont="1" applyBorder="1"/>
    <xf numFmtId="180" fontId="14" fillId="10" borderId="19" xfId="0" applyNumberFormat="1" applyFont="1" applyFill="1" applyBorder="1" applyAlignment="1">
      <alignment horizontal="left" indent="1"/>
    </xf>
    <xf numFmtId="180" fontId="3" fillId="0" borderId="0" xfId="0" applyNumberFormat="1" applyFont="1"/>
    <xf numFmtId="181" fontId="0" fillId="0" borderId="0" xfId="0" applyNumberFormat="1" applyAlignment="1">
      <alignment horizontal="left" indent="2"/>
    </xf>
    <xf numFmtId="49" fontId="0" fillId="0" borderId="8" xfId="0" applyNumberFormat="1" applyBorder="1"/>
    <xf numFmtId="49" fontId="0" fillId="0" borderId="18" xfId="0" applyNumberFormat="1" applyBorder="1"/>
    <xf numFmtId="49" fontId="9" fillId="0" borderId="18" xfId="0" applyNumberFormat="1" applyFont="1" applyBorder="1"/>
    <xf numFmtId="181" fontId="0" fillId="0" borderId="8" xfId="0" applyNumberFormat="1" applyBorder="1" applyAlignment="1">
      <alignment horizontal="left" indent="2"/>
    </xf>
    <xf numFmtId="180" fontId="3" fillId="0" borderId="21" xfId="0" applyNumberFormat="1" applyFont="1" applyBorder="1" applyAlignment="1">
      <alignment horizontal="left" indent="1"/>
    </xf>
    <xf numFmtId="180" fontId="3" fillId="7" borderId="21" xfId="0" applyNumberFormat="1" applyFont="1" applyFill="1" applyBorder="1"/>
    <xf numFmtId="0" fontId="11" fillId="0" borderId="0" xfId="0" applyFont="1" applyAlignment="1">
      <alignment horizontal="left"/>
    </xf>
    <xf numFmtId="0" fontId="18" fillId="0" borderId="0" xfId="20" applyFont="1" applyAlignment="1">
      <alignment horizontal="left" vertical="top" wrapText="1"/>
      <protection/>
    </xf>
    <xf numFmtId="0" fontId="2" fillId="6" borderId="0" xfId="0" applyFont="1" applyFill="1" applyAlignment="1">
      <alignment horizontal="center"/>
    </xf>
    <xf numFmtId="0" fontId="2" fillId="6" borderId="13" xfId="0" applyFont="1" applyFill="1" applyBorder="1" applyAlignment="1">
      <alignment horizontal="center"/>
    </xf>
    <xf numFmtId="0" fontId="2" fillId="5" borderId="39" xfId="0" applyFont="1" applyFill="1" applyBorder="1" applyAlignment="1">
      <alignment horizontal="center"/>
    </xf>
    <xf numFmtId="0" fontId="2" fillId="5" borderId="36" xfId="0" applyFont="1" applyFill="1" applyBorder="1" applyAlignment="1">
      <alignment horizontal="center"/>
    </xf>
    <xf numFmtId="0" fontId="2" fillId="5" borderId="22" xfId="0" applyFont="1" applyFill="1" applyBorder="1" applyAlignment="1">
      <alignment horizontal="center"/>
    </xf>
    <xf numFmtId="0" fontId="2" fillId="5" borderId="0" xfId="0" applyFont="1" applyFill="1" applyAlignment="1">
      <alignment horizontal="center"/>
    </xf>
    <xf numFmtId="0" fontId="3" fillId="0" borderId="0" xfId="0" applyFont="1" applyAlignment="1">
      <alignment horizontal="center"/>
    </xf>
    <xf numFmtId="0" fontId="12" fillId="6" borderId="40" xfId="0" applyFont="1" applyFill="1" applyBorder="1" applyAlignment="1">
      <alignment horizontal="center"/>
    </xf>
    <xf numFmtId="0" fontId="12" fillId="6" borderId="41" xfId="0" applyFont="1" applyFill="1" applyBorder="1" applyAlignment="1">
      <alignment horizontal="center"/>
    </xf>
    <xf numFmtId="0" fontId="2" fillId="5" borderId="42" xfId="0" applyFont="1" applyFill="1" applyBorder="1" applyAlignment="1">
      <alignment horizontal="center"/>
    </xf>
    <xf numFmtId="0" fontId="2" fillId="5" borderId="43" xfId="0" applyFont="1" applyFill="1" applyBorder="1" applyAlignment="1">
      <alignment horizontal="center"/>
    </xf>
    <xf numFmtId="0" fontId="2" fillId="5" borderId="44" xfId="0" applyFont="1" applyFill="1" applyBorder="1" applyAlignment="1">
      <alignment horizontal="center"/>
    </xf>
    <xf numFmtId="0" fontId="2" fillId="5" borderId="45" xfId="0" applyFont="1" applyFill="1" applyBorder="1" applyAlignment="1">
      <alignment horizontal="center"/>
    </xf>
    <xf numFmtId="0" fontId="12" fillId="6" borderId="46" xfId="0" applyFont="1" applyFill="1" applyBorder="1" applyAlignment="1">
      <alignment horizontal="center"/>
    </xf>
    <xf numFmtId="0" fontId="12" fillId="6" borderId="47" xfId="0" applyFont="1" applyFill="1" applyBorder="1" applyAlignment="1">
      <alignment horizontal="center"/>
    </xf>
    <xf numFmtId="0" fontId="12" fillId="6" borderId="6" xfId="0" applyFont="1" applyFill="1" applyBorder="1" applyAlignment="1">
      <alignment horizontal="center"/>
    </xf>
    <xf numFmtId="0" fontId="12" fillId="6" borderId="48" xfId="0" applyFont="1" applyFill="1" applyBorder="1" applyAlignment="1">
      <alignment horizontal="center"/>
    </xf>
    <xf numFmtId="0" fontId="2" fillId="5" borderId="49" xfId="0" applyFont="1" applyFill="1" applyBorder="1" applyAlignment="1">
      <alignment horizontal="center"/>
    </xf>
    <xf numFmtId="0" fontId="22" fillId="0" borderId="0" xfId="0" applyFont="1" quotePrefix="1"/>
  </cellXfs>
  <cellStyles count="67">
    <cellStyle name="Normal" xfId="0" builtinId="0"/>
    <cellStyle name="Percent" xfId="15" builtinId="5"/>
    <cellStyle name="Currency" xfId="16" builtinId="4"/>
    <cellStyle name="Currency [0]" xfId="17" builtinId="7"/>
    <cellStyle name="Comma" xfId="18" builtinId="3"/>
    <cellStyle name="Comma [0]" xfId="19" builtinId="6"/>
    <cellStyle name="Normal 2" xfId="20"/>
    <cellStyle name="Comma 2" xfId="21"/>
    <cellStyle name="Currency 2" xfId="22"/>
    <cellStyle name="Percent 2" xfId="23"/>
    <cellStyle name="Comma 3" xfId="24"/>
    <cellStyle name="Currency 3" xfId="25"/>
    <cellStyle name="AF Column - IBM Cognos" xfId="26"/>
    <cellStyle name="AF Data - IBM Cognos" xfId="27"/>
    <cellStyle name="AF Data 0 - IBM Cognos" xfId="28"/>
    <cellStyle name="AF Data 1 - IBM Cognos" xfId="29"/>
    <cellStyle name="AF Data 2 - IBM Cognos" xfId="30"/>
    <cellStyle name="AF Data 3 - IBM Cognos" xfId="31"/>
    <cellStyle name="AF Data 4 - IBM Cognos" xfId="32"/>
    <cellStyle name="AF Data 5 - IBM Cognos" xfId="33"/>
    <cellStyle name="AF Data Leaf - IBM Cognos" xfId="34"/>
    <cellStyle name="AF Header - IBM Cognos" xfId="35"/>
    <cellStyle name="AF Header 0 - IBM Cognos" xfId="36"/>
    <cellStyle name="AF Header 1 - IBM Cognos" xfId="37"/>
    <cellStyle name="AF Header 2 - IBM Cognos" xfId="38"/>
    <cellStyle name="AF Header 3 - IBM Cognos" xfId="39"/>
    <cellStyle name="AF Header 4 - IBM Cognos" xfId="40"/>
    <cellStyle name="AF Header 5 - IBM Cognos" xfId="41"/>
    <cellStyle name="AF Header Leaf - IBM Cognos" xfId="42"/>
    <cellStyle name="AF Row - IBM Cognos" xfId="43"/>
    <cellStyle name="AF Row 0 - IBM Cognos" xfId="44"/>
    <cellStyle name="AF Row 1 - IBM Cognos" xfId="45"/>
    <cellStyle name="AF Row 2 - IBM Cognos" xfId="46"/>
    <cellStyle name="AF Row 3 - IBM Cognos" xfId="47"/>
    <cellStyle name="AF Row 4 - IBM Cognos" xfId="48"/>
    <cellStyle name="AF Row 5 - IBM Cognos" xfId="49"/>
    <cellStyle name="AF Row Leaf - IBM Cognos" xfId="50"/>
    <cellStyle name="AF Subnm - IBM Cognos" xfId="51"/>
    <cellStyle name="AF Title - IBM Cognos" xfId="52"/>
    <cellStyle name="Calculated Column - IBM Cognos" xfId="53"/>
    <cellStyle name="Calculated Column Name - IBM Cognos" xfId="54"/>
    <cellStyle name="Calculated Row - IBM Cognos" xfId="55"/>
    <cellStyle name="Calculated Row Name - IBM Cognos" xfId="56"/>
    <cellStyle name="Column Name - IBM Cognos" xfId="57"/>
    <cellStyle name="Column Template - IBM Cognos" xfId="58"/>
    <cellStyle name="Differs From Base - IBM Cognos" xfId="59"/>
    <cellStyle name="Edit - IBM Cognos" xfId="60"/>
    <cellStyle name="Formula - IBM Cognos" xfId="61"/>
    <cellStyle name="Group Name - IBM Cognos" xfId="62"/>
    <cellStyle name="Hold Values - IBM Cognos" xfId="63"/>
    <cellStyle name="List Name - IBM Cognos" xfId="64"/>
    <cellStyle name="Locked - IBM Cognos" xfId="65"/>
    <cellStyle name="Measure - IBM Cognos" xfId="66"/>
    <cellStyle name="Measure Header - IBM Cognos" xfId="67"/>
    <cellStyle name="Measure Name - IBM Cognos" xfId="68"/>
    <cellStyle name="Measure Summary - IBM Cognos" xfId="69"/>
    <cellStyle name="Measure Summary TM1 - IBM Cognos" xfId="70"/>
    <cellStyle name="Measure Template - IBM Cognos" xfId="71"/>
    <cellStyle name="More - IBM Cognos" xfId="72"/>
    <cellStyle name="Pending Change - IBM Cognos" xfId="73"/>
    <cellStyle name="Row Name - IBM Cognos" xfId="74"/>
    <cellStyle name="Row Template - IBM Cognos" xfId="75"/>
    <cellStyle name="Summary Column Name - IBM Cognos" xfId="76"/>
    <cellStyle name="Summary Column Name TM1 - IBM Cognos" xfId="77"/>
    <cellStyle name="Summary Row Name - IBM Cognos" xfId="78"/>
    <cellStyle name="Summary Row Name TM1 - IBM Cognos" xfId="79"/>
    <cellStyle name="Unsaved Change - IBM Cognos" xfId="8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BDD6E7"/>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4" Type="http://schemas.openxmlformats.org/officeDocument/2006/relationships/sharedStrings" Target="sharedStrings.xml" /><Relationship Id="rId1" Type="http://schemas.openxmlformats.org/officeDocument/2006/relationships/theme" Target="theme/theme1.xml" /><Relationship Id="rId5" Type="http://schemas.openxmlformats.org/officeDocument/2006/relationships/worksheet" Target="worksheets/sheet3.xml" /><Relationship Id="rId9" Type="http://schemas.openxmlformats.org/officeDocument/2006/relationships/worksheet" Target="worksheets/sheet7.xml" /><Relationship Id="rId6" Type="http://schemas.openxmlformats.org/officeDocument/2006/relationships/worksheet" Target="worksheets/sheet4.xml" /><Relationship Id="rId15" Type="http://schemas.openxmlformats.org/officeDocument/2006/relationships/calcChain" Target="calcChain.xml" /><Relationship Id="rId2" Type="http://schemas.openxmlformats.org/officeDocument/2006/relationships/styles" Target="styles.xml" /><Relationship Id="rId4" Type="http://schemas.openxmlformats.org/officeDocument/2006/relationships/worksheet" Target="worksheets/sheet2.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3" Type="http://schemas.openxmlformats.org/officeDocument/2006/relationships/worksheet" Target="worksheets/sheet1.xml" /><Relationship Id="rId7" Type="http://schemas.openxmlformats.org/officeDocument/2006/relationships/worksheet" Target="worksheets/sheet5.xml" /><Relationship Id="rId8" Type="http://schemas.openxmlformats.org/officeDocument/2006/relationships/worksheet" Target="worksheets/sheet6.xml" /></Relationships>
</file>

<file path=xl/drawings/_rels/drawing1.xml.rels><?xml version="1.0" encoding="UTF-8" standalone="yes"?><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261937</xdr:colOff>
      <xdr:row>0</xdr:row>
      <xdr:rowOff>128587</xdr:rowOff>
    </xdr:from>
    <xdr:to>
      <xdr:col>3</xdr:col>
      <xdr:colOff>52387</xdr:colOff>
      <xdr:row>5</xdr:row>
      <xdr:rowOff>0</xdr:rowOff>
    </xdr:to>
    <xdr:pic>
      <xdr:nvPicPr>
        <xdr:cNvPr id="2" name="Picture 1">
          <a:extLst>
            <a:ext uri="{FF2B5EF4-FFF2-40B4-BE49-F238E27FC236}">
              <a16:creationId xmlns:a16="http://schemas.microsoft.com/office/drawing/2014/main" id="{00000000-0008-0000-0100-000005000000}"/>
            </a:ext>
          </a:extLst>
        </xdr:cNvPr>
        <xdr:cNvPicPr>
          <a:picLocks noChangeAspect="1"/>
        </xdr:cNvPicPr>
      </xdr:nvPicPr>
      <xdr:blipFill>
        <a:blip r:embed="rId1"/>
        <a:stretch>
          <a:fillRect/>
        </a:stretch>
      </xdr:blipFill>
      <xdr:spPr>
        <a:xfrm>
          <a:off x="260350" y="127000"/>
          <a:ext cx="2146300" cy="79375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4" Type="http://schemas.openxmlformats.org/officeDocument/2006/relationships/customProperty" Target="../customProperty2.bin" /><Relationship Id="rId2" Type="http://schemas.openxmlformats.org/officeDocument/2006/relationships/printerSettings" Target="../printerSettings/printerSettings1.bin" /><Relationship Id="rId3" Type="http://schemas.openxmlformats.org/officeDocument/2006/relationships/customProperty" Target="../customProperty1.bin" /><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2" Type="http://schemas.openxmlformats.org/officeDocument/2006/relationships/customProperty" Target="../customProperty3.bin" /><Relationship Id="rId1"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2" Type="http://schemas.openxmlformats.org/officeDocument/2006/relationships/customProperty" Target="../customProperty4.bin" /><Relationship Id="rId1" Type="http://schemas.openxmlformats.org/officeDocument/2006/relationships/printerSettings" Target="../printerSettings/printerSettings3.bin" /></Relationships>
</file>

<file path=xl/worksheets/_rels/sheet4.xml.rels><?xml version="1.0" encoding="UTF-8" standalone="yes"?><Relationships xmlns="http://schemas.openxmlformats.org/package/2006/relationships"><Relationship Id="rId2" Type="http://schemas.openxmlformats.org/officeDocument/2006/relationships/customProperty" Target="../customProperty5.bin" /><Relationship Id="rId1" Type="http://schemas.openxmlformats.org/officeDocument/2006/relationships/printerSettings" Target="../printerSettings/printerSettings4.bin" /></Relationships>
</file>

<file path=xl/worksheets/_rels/sheet5.xml.rels><?xml version="1.0" encoding="UTF-8" standalone="yes"?><Relationships xmlns="http://schemas.openxmlformats.org/package/2006/relationships"><Relationship Id="rId2" Type="http://schemas.openxmlformats.org/officeDocument/2006/relationships/customProperty" Target="../customProperty6.bin" /><Relationship Id="rId1" Type="http://schemas.openxmlformats.org/officeDocument/2006/relationships/printerSettings" Target="../printerSettings/printerSettings5.bin" /></Relationships>
</file>

<file path=xl/worksheets/_rels/sheet6.xml.rels><?xml version="1.0" encoding="UTF-8" standalone="yes"?><Relationships xmlns="http://schemas.openxmlformats.org/package/2006/relationships"><Relationship Id="rId2" Type="http://schemas.openxmlformats.org/officeDocument/2006/relationships/customProperty" Target="../customProperty7.bin" /><Relationship Id="rId1" Type="http://schemas.openxmlformats.org/officeDocument/2006/relationships/printerSettings" Target="../printerSettings/printerSettings6.bin" /></Relationships>
</file>

<file path=xl/worksheets/_rels/sheet7.xml.rels><?xml version="1.0" encoding="UTF-8" standalone="yes"?><Relationships xmlns="http://schemas.openxmlformats.org/package/2006/relationships"><Relationship Id="rId2" Type="http://schemas.openxmlformats.org/officeDocument/2006/relationships/customProperty" Target="../customProperty8.bin" /><Relationship Id="rId1" Type="http://schemas.openxmlformats.org/officeDocument/2006/relationships/printerSettings" Target="../printerSettings/printerSettings7.bin" /></Relationships>
</file>

<file path=xl/worksheets/_rels/sheet8.xml.rels><?xml version="1.0" encoding="UTF-8" standalone="yes"?><Relationships xmlns="http://schemas.openxmlformats.org/package/2006/relationships"><Relationship Id="rId2" Type="http://schemas.openxmlformats.org/officeDocument/2006/relationships/customProperty" Target="../customProperty9.bin" /><Relationship Id="rId1" Type="http://schemas.openxmlformats.org/officeDocument/2006/relationships/printerSettings" Target="../printerSettings/printerSettings8.bin" /></Relationships>
</file>

<file path=xl/worksheets/_rels/sheet9.xml.rels><?xml version="1.0" encoding="UTF-8" standalone="yes"?><Relationships xmlns="http://schemas.openxmlformats.org/package/2006/relationships"><Relationship Id="rId2" Type="http://schemas.openxmlformats.org/officeDocument/2006/relationships/customProperty" Target="../customProperty10.bin" /><Relationship Id="rId1" Type="http://schemas.openxmlformats.org/officeDocument/2006/relationships/printerSettings" Target="../printerSettings/printerSettings9.bin" /></Relationships>
</file>

<file path=xl/worksheets/_rels/sheet10.xml.rels><?xml version="1.0" encoding="UTF-8" standalone="yes"?><Relationships xmlns="http://schemas.openxmlformats.org/package/2006/relationships"><Relationship Id="rId2" Type="http://schemas.openxmlformats.org/officeDocument/2006/relationships/customProperty" Target="../customProperty11.bin" /><Relationship Id="rId1" Type="http://schemas.openxmlformats.org/officeDocument/2006/relationships/printerSettings" Target="../printerSettings/printerSettings10.bin" /></Relationships>
</file>

<file path=xl/worksheets/_rels/sheet11.xml.rels><?xml version="1.0" encoding="UTF-8" standalone="yes"?><Relationships xmlns="http://schemas.openxmlformats.org/package/2006/relationships"><Relationship Id="rId2" Type="http://schemas.openxmlformats.org/officeDocument/2006/relationships/customProperty" Target="../customProperty12.bin" /><Relationship Id="rId1" Type="http://schemas.openxmlformats.org/officeDocument/2006/relationships/printerSettings" Target="../printerSettings/printerSettings1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9:N25"/>
  <sheetViews>
    <sheetView showGridLines="0" tabSelected="1" view="pageBreakPreview" zoomScaleNormal="100" zoomScaleSheetLayoutView="100" workbookViewId="0" topLeftCell="A1"/>
  </sheetViews>
  <sheetFormatPr defaultRowHeight="14.5"/>
  <cols>
    <col min="1" max="1" width="16.2727272727273" customWidth="1"/>
    <col min="4" max="4" width="32.7272727272727" customWidth="1"/>
    <col min="8" max="8" width="70" customWidth="1"/>
  </cols>
  <sheetData>
    <row r="7" ht="7.5" customHeight="1"/>
    <row r="8" ht="7.5" customHeight="1"/>
    <row r="9" spans="4:14" ht="7.5" customHeight="1">
      <c r="D9" s="296"/>
      <c r="E9" s="296"/>
      <c r="F9" s="296"/>
      <c r="G9" s="296"/>
      <c r="H9" s="296"/>
      <c r="I9" s="296"/>
      <c r="J9" s="296"/>
      <c r="K9" s="296"/>
      <c r="L9" s="296"/>
      <c r="M9" s="296"/>
      <c r="N9" s="296"/>
    </row>
    <row r="10" spans="4:4" ht="7.5" customHeight="1">
      <c r="D10" s="35"/>
    </row>
    <row r="11" spans="4:4" ht="7.5" customHeight="1">
      <c r="D11" s="35"/>
    </row>
    <row r="12" spans="4:8" ht="7.5" customHeight="1">
      <c r="D12" s="35"/>
      <c r="H12" s="35"/>
    </row>
    <row r="13" spans="4:4" ht="7.5" customHeight="1">
      <c r="D13" s="35"/>
    </row>
    <row r="18" ht="9.75" customHeight="1"/>
    <row r="22" spans="1:14" s="216" customFormat="1" ht="53.15" customHeight="1">
      <c r="A22" s="214" t="s">
        <v>136</v>
      </c>
      <c r="B22" s="215"/>
      <c r="C22" s="215"/>
      <c r="D22" s="215"/>
      <c r="E22" s="215"/>
      <c r="F22" s="215"/>
      <c r="G22" s="215"/>
      <c r="H22" s="215"/>
      <c r="I22" s="215"/>
      <c r="J22" s="215"/>
      <c r="K22" s="215"/>
      <c r="L22" s="215"/>
      <c r="M22" s="215"/>
      <c r="N22" s="215"/>
    </row>
    <row r="24" spans="1:1" ht="23.5">
      <c r="A24" s="316" t="s">
        <v>277</v>
      </c>
    </row>
    <row r="25" spans="1:1" ht="23.5">
      <c r="A25" s="316" t="s">
        <v>278</v>
      </c>
    </row>
  </sheetData>
  <mergeCells count="1">
    <mergeCell ref="D9:N9"/>
  </mergeCells>
  <pageMargins left="0.708661417322835" right="0.708661417322835" top="0.748031496062992" bottom="0.748031496062992" header="0.31496062992126" footer="0.31496062992126"/>
  <pageSetup orientation="landscape" paperSize="9" scale="60" r:id="rId2"/>
  <customProperties>
    <customPr name="ParameterizedOutputNameDefault" r:id="rId3"/>
    <customPr name="CUSTOMPROP:RWBOOKMARKNAME" r:id="rId4"/>
  </customPropertie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L99"/>
  <sheetViews>
    <sheetView showGridLines="0" workbookViewId="0" topLeftCell="B28"/>
  </sheetViews>
  <sheetFormatPr defaultRowHeight="14.5"/>
  <cols>
    <col min="1" max="1" width="6.27272727272727" hidden="1" customWidth="1"/>
    <col min="2" max="2" width="2.45454545454545" customWidth="1"/>
    <col min="3" max="3" width="40.7272727272727" style="1" customWidth="1"/>
    <col min="4" max="4" width="19.7272727272727" style="1" hidden="1" customWidth="1"/>
    <col min="5" max="5" width="26.4545454545455" style="1" customWidth="1"/>
    <col min="6" max="6" width="13.4545454545455" style="1" bestFit="1" customWidth="1"/>
    <col min="7" max="12" width="15.7272727272727" customWidth="1"/>
  </cols>
  <sheetData>
    <row r="1" spans="1:1" ht="14.5" hidden="1">
      <c r="A1" t="s">
        <v>12</v>
      </c>
    </row>
    <row r="2" spans="1:12" ht="14.5" hidden="1">
      <c r="A2">
        <f>0</f>
        <v>0</v>
      </c>
      <c r="C2" s="22"/>
      <c r="D2" s="13"/>
      <c r="E2" s="13"/>
      <c r="F2" s="23"/>
      <c r="G2" s="8"/>
      <c r="H2" s="8"/>
      <c r="I2" s="8"/>
      <c r="J2" s="8"/>
      <c r="K2" s="8"/>
      <c r="L2" s="8"/>
    </row>
    <row r="3" spans="1:12" ht="14.5" hidden="1">
      <c r="A3">
        <f>1</f>
        <v>1</v>
      </c>
      <c r="C3" s="22"/>
      <c r="D3" s="13"/>
      <c r="E3" s="13"/>
      <c r="F3" s="23"/>
      <c r="G3" s="8"/>
      <c r="H3" s="8"/>
      <c r="I3" s="8"/>
      <c r="J3" s="8"/>
      <c r="K3" s="8"/>
      <c r="L3" s="8"/>
    </row>
    <row r="4" spans="1:12" ht="14.5" hidden="1">
      <c r="A4">
        <f>2</f>
        <v>2</v>
      </c>
      <c r="C4" s="22"/>
      <c r="D4" s="13"/>
      <c r="E4" s="13"/>
      <c r="F4" s="23"/>
      <c r="G4" s="10"/>
      <c r="H4" s="8"/>
      <c r="I4" s="8"/>
      <c r="J4" s="8"/>
      <c r="K4" s="8"/>
      <c r="L4" s="8"/>
    </row>
    <row r="5" spans="1:12" ht="14.5" hidden="1">
      <c r="A5">
        <f>3</f>
        <v>3</v>
      </c>
      <c r="C5" s="22"/>
      <c r="D5" s="13"/>
      <c r="E5" s="13"/>
      <c r="F5" s="23"/>
      <c r="G5" s="8"/>
      <c r="H5" s="8"/>
      <c r="I5" s="8"/>
      <c r="J5" s="8"/>
      <c r="K5" s="8"/>
      <c r="L5" s="8"/>
    </row>
    <row r="6" spans="1:12" ht="14.5" hidden="1">
      <c r="A6" t="s">
        <v>10</v>
      </c>
      <c r="C6" s="22"/>
      <c r="D6" s="13"/>
      <c r="E6" s="13"/>
      <c r="F6" s="23"/>
      <c r="G6" s="8"/>
      <c r="H6" s="8"/>
      <c r="I6" s="8"/>
      <c r="J6" s="8"/>
      <c r="K6" s="8"/>
      <c r="L6" s="8"/>
    </row>
    <row r="7" spans="1:12" ht="14.5" hidden="1">
      <c r="A7" t="s">
        <v>11</v>
      </c>
      <c r="C7" s="22"/>
      <c r="D7" s="13"/>
      <c r="E7" s="13"/>
      <c r="F7" s="23"/>
      <c r="G7" s="8"/>
      <c r="H7" s="8"/>
      <c r="I7" s="8"/>
      <c r="J7" s="8"/>
      <c r="K7" s="8"/>
      <c r="L7" s="8"/>
    </row>
    <row r="8" spans="1:12" ht="14.5" hidden="1">
      <c r="A8" t="s">
        <v>43</v>
      </c>
      <c r="C8" s="43"/>
      <c r="D8" s="44"/>
      <c r="E8" s="44"/>
      <c r="F8" s="45"/>
      <c r="G8" s="49"/>
      <c r="H8" s="49"/>
      <c r="I8" s="49"/>
      <c r="J8" s="49"/>
      <c r="K8" s="49"/>
      <c r="L8" s="49"/>
    </row>
    <row r="9" spans="1:12" ht="14.5" hidden="1">
      <c r="A9" t="s">
        <v>47</v>
      </c>
      <c r="B9" s="31"/>
      <c r="C9" s="140"/>
      <c r="D9" s="141"/>
      <c r="E9" s="141"/>
      <c r="F9" s="142"/>
      <c r="G9" s="30"/>
      <c r="H9" s="143"/>
      <c r="I9" s="30"/>
      <c r="J9" s="30"/>
      <c r="K9" s="30"/>
      <c r="L9" s="30"/>
    </row>
    <row r="10" spans="1:12" ht="14.5" hidden="1">
      <c r="A10" t="s">
        <v>61</v>
      </c>
      <c r="C10" s="22"/>
      <c r="D10" s="13"/>
      <c r="E10" s="13"/>
      <c r="F10" s="23"/>
      <c r="G10" s="20"/>
      <c r="H10" s="21"/>
      <c r="I10" s="20"/>
      <c r="J10" s="20"/>
      <c r="K10" s="20"/>
      <c r="L10" s="20"/>
    </row>
    <row r="11" spans="1:1" ht="14.5" hidden="1">
      <c r="A11" t="s">
        <v>13</v>
      </c>
    </row>
    <row r="12" spans="3:3" ht="14.5" hidden="1">
      <c r="C12" s="1" t="s">
        <v>275</v>
      </c>
    </row>
    <row r="13" spans="3:3" ht="14.5" hidden="1">
      <c r="C13" s="1" t="s">
        <v>274</v>
      </c>
    </row>
    <row r="15" spans="3:12" ht="14.5">
      <c r="C15" s="6" t="s">
        <v>40</v>
      </c>
      <c r="D15" s="6"/>
      <c r="E15" s="6"/>
      <c r="F15" s="6"/>
      <c r="G15" s="17"/>
      <c r="H15" s="17"/>
      <c r="I15" s="17"/>
      <c r="J15" s="17"/>
      <c r="K15" s="17"/>
      <c r="L15" s="6" t="str">
        <f ca="1">D24</f>
        <v>MERCI</v>
      </c>
    </row>
    <row r="16" ht="14.5" hidden="1"/>
    <row r="17" ht="14.5" hidden="1"/>
    <row r="18" spans="3:4" ht="14.5" hidden="1">
      <c r="C18" s="18" t="s">
        <v>0</v>
      </c>
      <c r="D18" s="18" t="s">
        <v>152</v>
      </c>
    </row>
    <row r="19" spans="3:10" ht="14.5" hidden="1">
      <c r="C19" s="18" t="s">
        <v>1</v>
      </c>
      <c r="D19" s="18" t="s">
        <v>246</v>
      </c>
      <c r="I19" s="19" t="s">
        <v>18</v>
      </c>
      <c r="J19" s="19" t="s">
        <v>272</v>
      </c>
    </row>
    <row r="20" spans="3:10" ht="14.5" hidden="1">
      <c r="C20" s="18" t="s">
        <v>2</v>
      </c>
      <c r="D20" s="18" t="s">
        <v>20</v>
      </c>
      <c r="I20" s="19" t="s">
        <v>16</v>
      </c>
      <c r="J20" s="19"/>
    </row>
    <row r="21" spans="3:4" ht="14.5" hidden="1">
      <c r="C21" s="18" t="s">
        <v>3</v>
      </c>
      <c r="D21" s="18" t="s">
        <v>276</v>
      </c>
    </row>
    <row r="22" spans="3:4" ht="14.5" hidden="1">
      <c r="C22" s="18" t="s">
        <v>4</v>
      </c>
      <c r="D22" s="18" t="s">
        <v>273</v>
      </c>
    </row>
    <row r="23" spans="3:4" ht="14.5" hidden="1">
      <c r="C23" s="18" t="s">
        <v>5</v>
      </c>
      <c r="D23" s="18" t="s">
        <v>143</v>
      </c>
    </row>
    <row r="24" spans="3:4" ht="14.5" hidden="1">
      <c r="C24" s="18" t="s">
        <v>6</v>
      </c>
      <c r="D24" s="18" t="str">
        <f ca="1">Master!A24</f>
        <v>MERCI</v>
      </c>
    </row>
    <row r="25" spans="3:4" ht="14.5" hidden="1">
      <c r="C25" s="18" t="s">
        <v>7</v>
      </c>
      <c r="D25" s="18" t="s">
        <v>133</v>
      </c>
    </row>
    <row r="26" spans="3:8" ht="14.5" hidden="1">
      <c r="C26" s="18" t="s">
        <v>14</v>
      </c>
      <c r="D26" s="18" t="str">
        <f ca="1">Master!A25</f>
        <v>YTD 2025.M12</v>
      </c>
      <c r="E26" s="18"/>
      <c r="F26" s="18" t="str">
        <f ca="1">"YTD "&amp;(D27-1)&amp;"."&amp;RIGHT(D26,3)</f>
        <v>YTD 2024.M12</v>
      </c>
      <c r="G26" s="18" t="str">
        <f ca="1">MID(D26,5,8)</f>
        <v>2025.M12</v>
      </c>
      <c r="H26" s="18" t="s">
        <v>268</v>
      </c>
    </row>
    <row r="27" spans="3:4" ht="14.5" hidden="1">
      <c r="C27" s="18" t="s">
        <v>15</v>
      </c>
      <c r="D27" s="18" t="str">
        <f ca="1">MID(D26,5,4)</f>
        <v>2025</v>
      </c>
    </row>
    <row r="28" spans="3:12" ht="14.5">
      <c r="C28" s="1" t="s">
        <v>41</v>
      </c>
      <c r="L28" s="1" t="str">
        <f ca="1">H26&amp;" "&amp;D27</f>
        <v>December 2025</v>
      </c>
    </row>
    <row r="29" spans="12:12" ht="14.5">
      <c r="L29" s="1"/>
    </row>
    <row r="30" spans="3:3" ht="14.5">
      <c r="C30" s="1" t="s">
        <v>42</v>
      </c>
    </row>
    <row r="31" spans="3:12" ht="29">
      <c r="C31" s="88" t="s">
        <v>38</v>
      </c>
      <c r="D31" s="89"/>
      <c r="E31" s="89"/>
      <c r="F31" s="89"/>
      <c r="G31" s="90" t="str">
        <f ca="1">$D$27&amp;" YTD"</f>
        <v>2025 YTD</v>
      </c>
      <c r="H31" s="82" t="s">
        <v>107</v>
      </c>
      <c r="I31" s="90">
        <f ca="1">$D$27-1</f>
        <v>2024</v>
      </c>
      <c r="J31" s="90">
        <f ca="1">$D$27-2</f>
        <v>2023</v>
      </c>
      <c r="K31" s="90">
        <f ca="1">$D$27-3</f>
        <v>2022</v>
      </c>
      <c r="L31" s="87">
        <f ca="1">$D$27-4</f>
        <v>2021</v>
      </c>
    </row>
    <row r="32" spans="3:12" ht="14.5">
      <c r="C32" s="91" t="s">
        <v>39</v>
      </c>
      <c r="D32" s="246"/>
      <c r="E32" s="246"/>
      <c r="F32" s="246"/>
      <c r="G32" s="298">
        <v>52</v>
      </c>
      <c r="H32" s="298"/>
      <c r="I32" s="246">
        <v>52</v>
      </c>
      <c r="J32" s="246">
        <v>53</v>
      </c>
      <c r="K32" s="246">
        <v>52</v>
      </c>
      <c r="L32" s="247">
        <v>52</v>
      </c>
    </row>
    <row r="33" spans="7:12" ht="14.5" hidden="1">
      <c r="G33" s="4" t="str">
        <f ca="1">$D$26</f>
        <v>YTD 2025.M12</v>
      </c>
      <c r="H33" s="4" t="str">
        <f ca="1">$D$26</f>
        <v>YTD 2025.M12</v>
      </c>
      <c r="I33" s="3">
        <f ca="1">$D$27-1</f>
        <v>2024</v>
      </c>
      <c r="J33" s="3">
        <f ca="1">$D$27-2</f>
        <v>2023</v>
      </c>
      <c r="K33" s="3">
        <f ca="1">$D$27-3</f>
        <v>2022</v>
      </c>
      <c r="L33" s="3">
        <f ca="1">$D$27-4</f>
        <v>2021</v>
      </c>
    </row>
    <row r="34" spans="7:12" ht="14.5" hidden="1">
      <c r="G34" s="4" t="s">
        <v>8</v>
      </c>
      <c r="H34" s="4" t="s">
        <v>9</v>
      </c>
      <c r="I34" s="4" t="s">
        <v>8</v>
      </c>
      <c r="J34" s="4" t="s">
        <v>8</v>
      </c>
      <c r="K34" s="4" t="s">
        <v>8</v>
      </c>
      <c r="L34" s="4" t="s">
        <v>8</v>
      </c>
    </row>
    <row r="35" spans="1:12" ht="14.5">
      <c r="A35" t="s">
        <v>11</v>
      </c>
      <c r="C35" s="22" t="s">
        <v>175</v>
      </c>
      <c r="D35" s="13"/>
      <c r="E35" s="13"/>
      <c r="F35" s="23" t="s">
        <v>25</v>
      </c>
      <c r="G35" s="8">
        <v>775.77999999999997</v>
      </c>
      <c r="H35" s="8">
        <v>461.20000000000005</v>
      </c>
      <c r="I35" s="8">
        <v>461.20000000000005</v>
      </c>
      <c r="J35" s="8">
        <v>-197.66</v>
      </c>
      <c r="K35" s="8">
        <v>-100</v>
      </c>
      <c r="L35" s="8">
        <v>52.659999999999997</v>
      </c>
    </row>
    <row r="36" spans="1:12" ht="14.5">
      <c r="A36" t="s">
        <v>11</v>
      </c>
      <c r="C36" s="22" t="s">
        <v>178</v>
      </c>
      <c r="D36" s="13"/>
      <c r="E36" s="13"/>
      <c r="F36" s="23" t="s">
        <v>25</v>
      </c>
      <c r="G36" s="8">
        <v>146572.95999999999</v>
      </c>
      <c r="H36" s="8">
        <v>188381.39000000001</v>
      </c>
      <c r="I36" s="8">
        <v>188381.39000000001</v>
      </c>
      <c r="J36" s="8">
        <v>103774.35000000001</v>
      </c>
      <c r="K36" s="8">
        <v>120417.57000000001</v>
      </c>
      <c r="L36" s="8">
        <v>94302.880000000005</v>
      </c>
    </row>
    <row r="37" spans="1:12" ht="14.5">
      <c r="A37" t="s">
        <v>11</v>
      </c>
      <c r="C37" s="22" t="s">
        <v>179</v>
      </c>
      <c r="D37" s="13"/>
      <c r="E37" s="13"/>
      <c r="F37" s="23" t="s">
        <v>25</v>
      </c>
      <c r="G37" s="8">
        <v>280757.38999999996</v>
      </c>
      <c r="H37" s="8">
        <v>270997.63</v>
      </c>
      <c r="I37" s="8">
        <v>270997.63</v>
      </c>
      <c r="J37" s="8">
        <v>111180.89</v>
      </c>
      <c r="K37" s="8">
        <v>120737.12999999999</v>
      </c>
      <c r="L37" s="8">
        <v>82182.090000000011</v>
      </c>
    </row>
    <row r="38" spans="1:12" ht="14.5">
      <c r="A38" t="s">
        <v>11</v>
      </c>
      <c r="C38" s="22" t="s">
        <v>180</v>
      </c>
      <c r="D38" s="13"/>
      <c r="E38" s="13"/>
      <c r="F38" s="23" t="s">
        <v>25</v>
      </c>
      <c r="G38" s="8">
        <v>6229.1000000000004</v>
      </c>
      <c r="H38" s="8">
        <v>10170.4</v>
      </c>
      <c r="I38" s="8">
        <v>10170.4</v>
      </c>
      <c r="J38" s="8">
        <v>5986.3000000000002</v>
      </c>
      <c r="K38" s="8">
        <v>7482.4499999999998</v>
      </c>
      <c r="L38" s="8">
        <v>4706.5</v>
      </c>
    </row>
    <row r="39" spans="1:12" ht="14.5">
      <c r="A39" t="s">
        <v>11</v>
      </c>
      <c r="C39" s="22" t="s">
        <v>181</v>
      </c>
      <c r="D39" s="13"/>
      <c r="E39" s="13"/>
      <c r="F39" s="23" t="s">
        <v>25</v>
      </c>
      <c r="G39" s="8">
        <v>99333.109999999971</v>
      </c>
      <c r="H39" s="8">
        <v>79374.529999999999</v>
      </c>
      <c r="I39" s="8">
        <v>79374.529999999999</v>
      </c>
      <c r="J39" s="8">
        <v>58419.939999999988</v>
      </c>
      <c r="K39" s="8">
        <v>45062.889999999999</v>
      </c>
      <c r="L39" s="8">
        <v>34204.700000000004</v>
      </c>
    </row>
    <row r="40" spans="3:12" ht="14.5" hidden="1">
      <c r="C40" s="25"/>
      <c r="D40" s="11"/>
      <c r="E40" s="11"/>
      <c r="F40" s="14"/>
      <c r="G40" s="15"/>
      <c r="H40" s="15"/>
      <c r="I40" s="15"/>
      <c r="J40" s="15"/>
      <c r="K40" s="15"/>
      <c r="L40" s="15"/>
    </row>
    <row r="41" ht="14.5" hidden="1"/>
    <row r="42" spans="3:4" ht="14.5" hidden="1">
      <c r="C42" s="1" t="s">
        <v>18</v>
      </c>
      <c r="D42" s="1" t="s">
        <v>270</v>
      </c>
    </row>
    <row r="43" spans="3:4" ht="14.5" hidden="1">
      <c r="C43" s="1" t="s">
        <v>0</v>
      </c>
      <c r="D43" s="1" t="s">
        <v>152</v>
      </c>
    </row>
    <row r="44" spans="3:4" ht="14.5" hidden="1">
      <c r="C44" s="1" t="s">
        <v>1</v>
      </c>
      <c r="D44" s="1" t="s">
        <v>243</v>
      </c>
    </row>
    <row r="45" spans="3:4" ht="14.5" hidden="1">
      <c r="C45" s="1" t="s">
        <v>21</v>
      </c>
      <c r="D45" s="1" t="s">
        <v>271</v>
      </c>
    </row>
    <row r="46" spans="3:4" ht="14.5" hidden="1">
      <c r="C46" s="1" t="s">
        <v>3</v>
      </c>
      <c r="D46" s="1" t="s">
        <v>276</v>
      </c>
    </row>
    <row r="47" spans="3:4" ht="14.5" hidden="1">
      <c r="C47" s="1" t="s">
        <v>4</v>
      </c>
      <c r="D47" s="1" t="s">
        <v>273</v>
      </c>
    </row>
    <row r="48" spans="3:4" ht="14.5" hidden="1">
      <c r="C48" s="1" t="s">
        <v>5</v>
      </c>
      <c r="D48" s="1" t="s">
        <v>143</v>
      </c>
    </row>
    <row r="49" spans="3:4" ht="14.5" hidden="1">
      <c r="C49" s="1" t="s">
        <v>6</v>
      </c>
      <c r="D49" s="1" t="s">
        <v>265</v>
      </c>
    </row>
    <row r="50" spans="3:4" ht="14.5" hidden="1">
      <c r="C50" s="1" t="s">
        <v>7</v>
      </c>
      <c r="D50" s="1" t="s">
        <v>245</v>
      </c>
    </row>
    <row r="51" ht="14.5" hidden="1"/>
    <row r="52" ht="14.5" hidden="1"/>
    <row r="53" spans="7:12" ht="14.5" hidden="1">
      <c r="G53" s="5" t="str">
        <f ca="1" t="shared" si="0" ref="G53:L53">G33</f>
        <v>YTD 2025.M12</v>
      </c>
      <c r="H53" s="5" t="str">
        <f t="shared" ca="1" si="0"/>
        <v>YTD 2025.M12</v>
      </c>
      <c r="I53" s="5">
        <f t="shared" ca="1" si="0"/>
        <v>2024</v>
      </c>
      <c r="J53" s="5">
        <f t="shared" ca="1" si="0"/>
        <v>2023</v>
      </c>
      <c r="K53" s="5">
        <f t="shared" ca="1" si="0"/>
        <v>2022</v>
      </c>
      <c r="L53" s="5">
        <f t="shared" ca="1" si="0"/>
        <v>2021</v>
      </c>
    </row>
    <row r="54" spans="7:12" ht="14.5" hidden="1">
      <c r="G54" t="s">
        <v>8</v>
      </c>
      <c r="H54" t="s">
        <v>9</v>
      </c>
      <c r="I54" t="s">
        <v>8</v>
      </c>
      <c r="J54" t="s">
        <v>8</v>
      </c>
      <c r="K54" t="s">
        <v>8</v>
      </c>
      <c r="L54" t="s">
        <v>8</v>
      </c>
    </row>
    <row r="55" spans="1:12" ht="14.5">
      <c r="A55" t="s">
        <v>20</v>
      </c>
      <c r="C55" s="32" t="s">
        <v>22</v>
      </c>
      <c r="F55" s="26" t="s">
        <v>25</v>
      </c>
      <c r="G55" s="8">
        <v>533668.33999999997</v>
      </c>
      <c r="H55" s="8">
        <v>549385.149999997</v>
      </c>
      <c r="I55" s="8">
        <v>549385.15000000002</v>
      </c>
      <c r="J55" s="8">
        <v>279163.82000000001</v>
      </c>
      <c r="K55" s="8">
        <v>293600.03999999998</v>
      </c>
      <c r="L55" s="8">
        <v>215448.82999999999</v>
      </c>
    </row>
    <row r="56" spans="1:12" ht="14.5">
      <c r="A56" t="s">
        <v>19</v>
      </c>
      <c r="C56" s="32" t="s">
        <v>23</v>
      </c>
      <c r="F56" s="26" t="s">
        <v>25</v>
      </c>
      <c r="G56" s="8">
        <v>479534.15000000002</v>
      </c>
      <c r="H56" s="8">
        <v>492718.40999999701</v>
      </c>
      <c r="I56" s="8">
        <v>491791.31</v>
      </c>
      <c r="J56" s="8">
        <v>269914.08000000002</v>
      </c>
      <c r="K56" s="8">
        <v>282507.66999999998</v>
      </c>
      <c r="L56" s="8">
        <v>120990.86</v>
      </c>
    </row>
    <row r="57" spans="3:12" ht="14.5">
      <c r="C57" s="33" t="s">
        <v>24</v>
      </c>
      <c r="D57" s="29"/>
      <c r="E57" s="29"/>
      <c r="F57" s="27" t="s">
        <v>25</v>
      </c>
      <c r="G57" s="65">
        <f ca="1">G55/G$32</f>
        <v>10262.852692307692</v>
      </c>
      <c r="H57" s="93">
        <f ca="1">H55/G$32</f>
        <v>10565.099038461482</v>
      </c>
      <c r="I57" s="65">
        <f ca="1" t="shared" si="1" ref="I57:L57">I55/I$32</f>
        <v>10565.09903846154</v>
      </c>
      <c r="J57" s="65">
        <f ca="1">J55/J$32</f>
        <v>5267.2418867924525</v>
      </c>
      <c r="K57" s="65">
        <f t="shared" ca="1" si="1"/>
        <v>5646.1546153846148</v>
      </c>
      <c r="L57" s="65">
        <f t="shared" ca="1" si="1"/>
        <v>4143.2467307692305</v>
      </c>
    </row>
    <row r="58" spans="1:12" ht="14.5">
      <c r="A58" t="s">
        <v>26</v>
      </c>
      <c r="C58" s="32" t="s">
        <v>22</v>
      </c>
      <c r="F58" s="26" t="s">
        <v>36</v>
      </c>
      <c r="G58" s="66">
        <v>46899</v>
      </c>
      <c r="H58" s="66">
        <v>62071</v>
      </c>
      <c r="I58" s="66">
        <v>62071</v>
      </c>
      <c r="J58" s="66">
        <v>39517</v>
      </c>
      <c r="K58" s="66">
        <v>42149</v>
      </c>
      <c r="L58" s="66">
        <v>29171</v>
      </c>
    </row>
    <row r="59" spans="1:12" ht="14.5">
      <c r="A59" t="s">
        <v>27</v>
      </c>
      <c r="C59" s="32" t="s">
        <v>23</v>
      </c>
      <c r="F59" s="26" t="s">
        <v>36</v>
      </c>
      <c r="G59" s="66">
        <v>42544</v>
      </c>
      <c r="H59" s="66">
        <v>55647</v>
      </c>
      <c r="I59" s="66">
        <v>55488</v>
      </c>
      <c r="J59" s="66">
        <v>38021</v>
      </c>
      <c r="K59" s="66">
        <v>40473</v>
      </c>
      <c r="L59" s="66">
        <v>16167</v>
      </c>
    </row>
    <row r="60" spans="3:12" ht="14.5">
      <c r="C60" s="33" t="s">
        <v>24</v>
      </c>
      <c r="D60" s="29"/>
      <c r="E60" s="29"/>
      <c r="F60" s="27" t="s">
        <v>36</v>
      </c>
      <c r="G60" s="67">
        <f ca="1">G58/G$32</f>
        <v>901.90384615384619</v>
      </c>
      <c r="H60" s="67">
        <f ca="1">H58/G$32</f>
        <v>1193.6730769230769</v>
      </c>
      <c r="I60" s="67">
        <f ca="1" t="shared" si="2" ref="I60">I58/I$32</f>
        <v>1193.6730769230769</v>
      </c>
      <c r="J60" s="67">
        <f ca="1">J58/J$32</f>
        <v>745.60377358490564</v>
      </c>
      <c r="K60" s="67">
        <f ca="1" t="shared" si="3" ref="K60:L60">K58/K$32</f>
        <v>810.55769230769226</v>
      </c>
      <c r="L60" s="67">
        <f t="shared" ca="1" si="3"/>
        <v>560.98076923076928</v>
      </c>
    </row>
    <row r="61" spans="1:12" ht="14.5">
      <c r="A61" t="s">
        <v>28</v>
      </c>
      <c r="C61" s="34" t="s">
        <v>32</v>
      </c>
      <c r="D61" s="11"/>
      <c r="E61" s="11"/>
      <c r="F61" s="28" t="s">
        <v>37</v>
      </c>
      <c r="G61" s="46">
        <v>-0.028607999324335699</v>
      </c>
      <c r="H61" s="46">
        <v>0</v>
      </c>
      <c r="I61" s="46">
        <v>1.0200050247788199</v>
      </c>
      <c r="J61" s="46">
        <v>-0.071903149983963993</v>
      </c>
      <c r="K61" s="46">
        <v>0.36285612270456802</v>
      </c>
      <c r="L61" s="46">
        <v>-0.39332755238509198</v>
      </c>
    </row>
    <row r="62" spans="1:12" ht="15">
      <c r="A62" t="s">
        <v>29</v>
      </c>
      <c r="C62" s="32" t="s">
        <v>33</v>
      </c>
      <c r="F62" s="26" t="s">
        <v>37</v>
      </c>
      <c r="G62" s="20">
        <v>-0.24442976591322799</v>
      </c>
      <c r="H62" s="20">
        <v>0</v>
      </c>
      <c r="I62" s="20">
        <v>0.61655858530614405</v>
      </c>
      <c r="J62" s="20">
        <v>-0.0867133513600961</v>
      </c>
      <c r="K62" s="20">
        <v>0.44494343503599598</v>
      </c>
      <c r="L62" s="20">
        <v>-0.47710977271097699</v>
      </c>
    </row>
    <row r="63" spans="1:12" ht="15">
      <c r="A63" t="s">
        <v>30</v>
      </c>
      <c r="C63" s="32" t="s">
        <v>34</v>
      </c>
      <c r="F63" s="26" t="s">
        <v>37</v>
      </c>
      <c r="G63" s="20">
        <v>-0.026758204549328701</v>
      </c>
      <c r="H63" s="20">
        <v>0</v>
      </c>
      <c r="I63" s="20">
        <v>0.97848709281891499</v>
      </c>
      <c r="J63" s="20">
        <v>-0.074096255828918406</v>
      </c>
      <c r="K63" s="20">
        <v>0.34467220589937703</v>
      </c>
      <c r="L63" s="20">
        <v>-0.42126544273715999</v>
      </c>
    </row>
    <row r="64" spans="1:12" ht="15">
      <c r="A64" t="s">
        <v>31</v>
      </c>
      <c r="C64" s="33" t="s">
        <v>35</v>
      </c>
      <c r="D64" s="29"/>
      <c r="E64" s="29"/>
      <c r="F64" s="27" t="s">
        <v>37</v>
      </c>
      <c r="G64" s="30">
        <v>-0.23546642226894501</v>
      </c>
      <c r="H64" s="30">
        <v>0</v>
      </c>
      <c r="I64" s="30">
        <v>0.59512447536365198</v>
      </c>
      <c r="J64" s="30">
        <v>-0.089317365269461102</v>
      </c>
      <c r="K64" s="30">
        <v>0.42435333450642299</v>
      </c>
      <c r="L64" s="30">
        <v>-0.51006121583126296</v>
      </c>
    </row>
    <row r="66" spans="3:6" ht="15">
      <c r="C66" s="1" t="s">
        <v>46</v>
      </c>
      <c r="D66"/>
      <c r="E66"/>
      <c r="F66"/>
    </row>
    <row r="67" spans="3:12" ht="30">
      <c r="C67" s="88" t="s">
        <v>38</v>
      </c>
      <c r="D67" s="89"/>
      <c r="E67" s="89"/>
      <c r="F67" s="89"/>
      <c r="G67" s="90" t="str">
        <f ca="1">$D$27&amp;" YTD"</f>
        <v>2025 YTD</v>
      </c>
      <c r="H67" s="82" t="s">
        <v>107</v>
      </c>
      <c r="I67" s="90">
        <f ca="1">$D$27-1</f>
        <v>2024</v>
      </c>
      <c r="J67" s="90">
        <f ca="1">$D$27-2</f>
        <v>2023</v>
      </c>
      <c r="K67" s="90">
        <f ca="1">$D$27-3</f>
        <v>2022</v>
      </c>
      <c r="L67" s="87">
        <f ca="1">$D$27-4</f>
        <v>2021</v>
      </c>
    </row>
    <row r="68" spans="3:12" ht="15">
      <c r="C68" s="92" t="s">
        <v>39</v>
      </c>
      <c r="D68" s="246"/>
      <c r="E68" s="246"/>
      <c r="F68" s="246"/>
      <c r="G68" s="298">
        <v>52</v>
      </c>
      <c r="H68" s="298"/>
      <c r="I68" s="246">
        <v>52</v>
      </c>
      <c r="J68" s="246">
        <v>53</v>
      </c>
      <c r="K68" s="246">
        <v>52</v>
      </c>
      <c r="L68" s="247">
        <v>52</v>
      </c>
    </row>
    <row r="69" spans="3:12" ht="15" hidden="1">
      <c r="C69"/>
      <c r="D69"/>
      <c r="E69"/>
      <c r="F69"/>
      <c r="G69" s="4" t="str">
        <f ca="1">$D$26</f>
        <v>YTD 2025.M12</v>
      </c>
      <c r="H69" s="4" t="str">
        <f ca="1">$D$26</f>
        <v>YTD 2025.M12</v>
      </c>
      <c r="I69" s="3">
        <f ca="1">$D$27-1</f>
        <v>2024</v>
      </c>
      <c r="J69" s="3">
        <f ca="1">$D$27-2</f>
        <v>2023</v>
      </c>
      <c r="K69" s="3">
        <f ca="1">$D$27-3</f>
        <v>2022</v>
      </c>
      <c r="L69" s="3">
        <f ca="1">$D$27-4</f>
        <v>2021</v>
      </c>
    </row>
    <row r="70" spans="3:12" ht="15" hidden="1">
      <c r="C70"/>
      <c r="D70"/>
      <c r="E70"/>
      <c r="F70"/>
      <c r="G70" s="4" t="s">
        <v>8</v>
      </c>
      <c r="H70" s="4" t="s">
        <v>9</v>
      </c>
      <c r="I70" s="4" t="s">
        <v>8</v>
      </c>
      <c r="J70" s="4" t="s">
        <v>8</v>
      </c>
      <c r="K70" s="4" t="s">
        <v>8</v>
      </c>
      <c r="L70" s="4" t="s">
        <v>8</v>
      </c>
    </row>
    <row r="71" spans="1:12" ht="15">
      <c r="A71" t="s">
        <v>43</v>
      </c>
      <c r="C71" s="43" t="s">
        <v>175</v>
      </c>
      <c r="D71" s="44" t="s">
        <v>45</v>
      </c>
      <c r="E71" s="44" t="str">
        <f ca="1">UPPER(D71)</f>
        <v>TOTAL STORE SALES</v>
      </c>
      <c r="F71" s="45" t="str">
        <f ca="1">IF(D71="Total Growth on LY","%",IF(D71="Same Store Growth on LY","%","AUD"))</f>
        <v>AUD</v>
      </c>
      <c r="G71" s="49">
        <v>775.77999999999997</v>
      </c>
      <c r="H71" s="49">
        <v>461.20000000000005</v>
      </c>
      <c r="I71" s="49">
        <v>461.20000000000005</v>
      </c>
      <c r="J71" s="49">
        <v>-197.66</v>
      </c>
      <c r="K71" s="49">
        <v>-100</v>
      </c>
      <c r="L71" s="49">
        <v>52.659999999999997</v>
      </c>
    </row>
    <row r="72" spans="1:12" ht="15">
      <c r="A72" t="s">
        <v>11</v>
      </c>
      <c r="C72" s="22" t="s">
        <v>175</v>
      </c>
      <c r="D72" s="13" t="s">
        <v>176</v>
      </c>
      <c r="E72" s="13" t="str">
        <f ca="1">UPPER(D72)</f>
        <v>SAME STORE SALES</v>
      </c>
      <c r="F72" s="23" t="str">
        <f ca="1">IF(D72="Total Growth on LY","%",IF(D72="Same Store Growth on LY","%","AUD"))</f>
        <v>AUD</v>
      </c>
      <c r="G72" s="8">
        <v>775.77999999999997</v>
      </c>
      <c r="H72" s="8">
        <v>447.20000000000005</v>
      </c>
      <c r="I72" s="8">
        <v>461.20000000000005</v>
      </c>
      <c r="J72" s="8">
        <v>-197.66</v>
      </c>
      <c r="K72" s="8">
        <v>-100</v>
      </c>
      <c r="L72" s="8">
        <v>41.659999999999997</v>
      </c>
    </row>
    <row r="73" spans="1:12" ht="15">
      <c r="A73" t="s">
        <v>61</v>
      </c>
      <c r="C73" s="22" t="s">
        <v>175</v>
      </c>
      <c r="D73" s="13" t="s">
        <v>44</v>
      </c>
      <c r="E73" s="13" t="str">
        <f ca="1">UPPER(D73)</f>
        <v>TOTAL GROWTH ON LY</v>
      </c>
      <c r="F73" s="23" t="str">
        <f ca="1">IF(D73="Total Growth on LY","%",IF(D73="Same Store Growth on LY","%","AUD"))</f>
        <v>%</v>
      </c>
      <c r="G73" s="20">
        <v>0.68209019947961813</v>
      </c>
      <c r="H73" s="21">
        <v>0</v>
      </c>
      <c r="I73" s="20">
        <v>-3.3332996053829809</v>
      </c>
      <c r="J73" s="20">
        <v>0.97659999999999991</v>
      </c>
      <c r="K73" s="20">
        <v>-2.8989745537409801</v>
      </c>
      <c r="L73" s="20">
        <v>-0.98556722504823724</v>
      </c>
    </row>
    <row r="74" spans="1:12" ht="15">
      <c r="A74" t="s">
        <v>47</v>
      </c>
      <c r="C74" s="140" t="s">
        <v>175</v>
      </c>
      <c r="D74" s="141" t="s">
        <v>177</v>
      </c>
      <c r="E74" s="141" t="str">
        <f ca="1">UPPER(D74)</f>
        <v>SAME STORE GROWTH ON LY</v>
      </c>
      <c r="F74" s="142" t="str">
        <f ca="1">IF(D74="Total Growth on LY","%",IF(D74="Same Store Growth on LY","%","AUD"))</f>
        <v>%</v>
      </c>
      <c r="G74" s="30">
        <v>0.7347495527728084</v>
      </c>
      <c r="H74" s="143">
        <v>0</v>
      </c>
      <c r="I74" s="30">
        <v>-3.2209380718482135</v>
      </c>
      <c r="J74" s="30">
        <v>1.0806315789473684</v>
      </c>
      <c r="K74" s="30">
        <v>-3.0136931131695532</v>
      </c>
      <c r="L74" s="30">
        <v>-0.98558018469547404</v>
      </c>
    </row>
    <row r="75" spans="1:12" ht="15">
      <c r="A75" t="s">
        <v>43</v>
      </c>
      <c r="C75" s="43" t="s">
        <v>178</v>
      </c>
      <c r="D75" s="44" t="s">
        <v>45</v>
      </c>
      <c r="E75" s="44" t="str">
        <f ca="1">UPPER(D75)</f>
        <v>TOTAL STORE SALES</v>
      </c>
      <c r="F75" s="45" t="str">
        <f ca="1">IF(D75="Total Growth on LY","%",IF(D75="Same Store Growth on LY","%","AUD"))</f>
        <v>AUD</v>
      </c>
      <c r="G75" s="49">
        <v>146572.95999999999</v>
      </c>
      <c r="H75" s="49">
        <v>188381.39000000001</v>
      </c>
      <c r="I75" s="49">
        <v>188381.39000000001</v>
      </c>
      <c r="J75" s="49">
        <v>103774.35000000001</v>
      </c>
      <c r="K75" s="49">
        <v>120417.57000000001</v>
      </c>
      <c r="L75" s="49">
        <v>94302.880000000005</v>
      </c>
    </row>
    <row r="76" spans="1:12" ht="15">
      <c r="A76" t="s">
        <v>11</v>
      </c>
      <c r="C76" s="22" t="s">
        <v>178</v>
      </c>
      <c r="D76" s="13" t="s">
        <v>176</v>
      </c>
      <c r="E76" s="13" t="str">
        <f ca="1">UPPER(D76)</f>
        <v>SAME STORE SALES</v>
      </c>
      <c r="F76" s="23" t="str">
        <f ca="1">IF(D76="Total Growth on LY","%",IF(D76="Same Store Growth on LY","%","AUD"))</f>
        <v>AUD</v>
      </c>
      <c r="G76" s="8">
        <v>146572.95999999999</v>
      </c>
      <c r="H76" s="8">
        <v>145189.82999999999</v>
      </c>
      <c r="I76" s="8">
        <v>188187.59</v>
      </c>
      <c r="J76" s="8">
        <v>103744.35000000001</v>
      </c>
      <c r="K76" s="8">
        <v>120125.78</v>
      </c>
      <c r="L76" s="8">
        <v>59582.140000000007</v>
      </c>
    </row>
    <row r="77" spans="1:12" ht="15">
      <c r="A77" t="s">
        <v>61</v>
      </c>
      <c r="C77" s="22" t="s">
        <v>178</v>
      </c>
      <c r="D77" s="13" t="s">
        <v>44</v>
      </c>
      <c r="E77" s="13" t="str">
        <f ca="1">UPPER(D77)</f>
        <v>TOTAL GROWTH ON LY</v>
      </c>
      <c r="F77" s="23" t="str">
        <f ca="1">IF(D77="Total Growth on LY","%",IF(D77="Same Store Growth on LY","%","AUD"))</f>
        <v>%</v>
      </c>
      <c r="G77" s="20">
        <v>-0.22193503296689773</v>
      </c>
      <c r="H77" s="21">
        <v>0</v>
      </c>
      <c r="I77" s="20">
        <v>0.87223152688209726</v>
      </c>
      <c r="J77" s="20">
        <v>-0.16071595522323837</v>
      </c>
      <c r="K77" s="20">
        <v>0.27692356797586676</v>
      </c>
      <c r="L77" s="20">
        <v>-0.46232572088487184</v>
      </c>
    </row>
    <row r="78" spans="1:12" ht="15">
      <c r="A78" t="s">
        <v>47</v>
      </c>
      <c r="C78" s="140" t="s">
        <v>178</v>
      </c>
      <c r="D78" s="141" t="s">
        <v>177</v>
      </c>
      <c r="E78" s="141" t="str">
        <f ca="1">UPPER(D78)</f>
        <v>SAME STORE GROWTH ON LY</v>
      </c>
      <c r="F78" s="142" t="str">
        <f ca="1">IF(D78="Total Growth on LY","%",IF(D78="Same Store Growth on LY","%","AUD"))</f>
        <v>%</v>
      </c>
      <c r="G78" s="30">
        <v>0.0095263559438013307</v>
      </c>
      <c r="H78" s="143">
        <v>0</v>
      </c>
      <c r="I78" s="30">
        <v>1.2169608927991022</v>
      </c>
      <c r="J78" s="30">
        <v>-0.10205246930410158</v>
      </c>
      <c r="K78" s="30">
        <v>0.3245184104382729</v>
      </c>
      <c r="L78" s="30">
        <v>-0.45844161309524412</v>
      </c>
    </row>
    <row r="79" spans="1:12" ht="15">
      <c r="A79" t="s">
        <v>43</v>
      </c>
      <c r="C79" s="43" t="s">
        <v>179</v>
      </c>
      <c r="D79" s="44" t="s">
        <v>45</v>
      </c>
      <c r="E79" s="44" t="str">
        <f ca="1">UPPER(D79)</f>
        <v>TOTAL STORE SALES</v>
      </c>
      <c r="F79" s="45" t="str">
        <f ca="1">IF(D79="Total Growth on LY","%",IF(D79="Same Store Growth on LY","%","AUD"))</f>
        <v>AUD</v>
      </c>
      <c r="G79" s="49">
        <v>280757.38999999996</v>
      </c>
      <c r="H79" s="49">
        <v>270997.63</v>
      </c>
      <c r="I79" s="49">
        <v>270997.63</v>
      </c>
      <c r="J79" s="49">
        <v>111180.89</v>
      </c>
      <c r="K79" s="49">
        <v>120737.12999999999</v>
      </c>
      <c r="L79" s="49">
        <v>82182.090000000011</v>
      </c>
    </row>
    <row r="80" spans="1:12" ht="15">
      <c r="A80" t="s">
        <v>11</v>
      </c>
      <c r="C80" s="22" t="s">
        <v>179</v>
      </c>
      <c r="D80" s="13" t="s">
        <v>176</v>
      </c>
      <c r="E80" s="13" t="str">
        <f ca="1">UPPER(D80)</f>
        <v>SAME STORE SALES</v>
      </c>
      <c r="F80" s="23" t="str">
        <f ca="1">IF(D80="Total Growth on LY","%",IF(D80="Same Store Growth on LY","%","AUD"))</f>
        <v>AUD</v>
      </c>
      <c r="G80" s="8">
        <v>226623.20000000004</v>
      </c>
      <c r="H80" s="8">
        <v>259672.54999999999</v>
      </c>
      <c r="I80" s="8">
        <v>213597.59000000003</v>
      </c>
      <c r="J80" s="8">
        <v>101961.14999999999</v>
      </c>
      <c r="K80" s="8">
        <v>110015.05</v>
      </c>
      <c r="L80" s="8">
        <v>41786.919999999998</v>
      </c>
    </row>
    <row r="81" spans="1:12" ht="15">
      <c r="A81" t="s">
        <v>61</v>
      </c>
      <c r="C81" s="22" t="s">
        <v>179</v>
      </c>
      <c r="D81" s="13" t="s">
        <v>44</v>
      </c>
      <c r="E81" s="13" t="str">
        <f ca="1">UPPER(D81)</f>
        <v>TOTAL GROWTH ON LY</v>
      </c>
      <c r="F81" s="23" t="str">
        <f ca="1">IF(D81="Total Growth on LY","%",IF(D81="Same Store Growth on LY","%","AUD"))</f>
        <v>%</v>
      </c>
      <c r="G81" s="20">
        <v>0.036014189496785969</v>
      </c>
      <c r="H81" s="21">
        <v>0</v>
      </c>
      <c r="I81" s="20">
        <v>1.5026899996989356</v>
      </c>
      <c r="J81" s="20">
        <v>-0.10016868262447574</v>
      </c>
      <c r="K81" s="20">
        <v>0.46947904427309434</v>
      </c>
      <c r="L81" s="20">
        <v>-0.1577461910455262</v>
      </c>
    </row>
    <row r="82" spans="1:12" ht="15">
      <c r="A82" t="s">
        <v>47</v>
      </c>
      <c r="C82" s="140" t="s">
        <v>179</v>
      </c>
      <c r="D82" s="141" t="s">
        <v>177</v>
      </c>
      <c r="E82" s="141" t="str">
        <f ca="1">UPPER(D82)</f>
        <v>SAME STORE GROWTH ON LY</v>
      </c>
      <c r="F82" s="142" t="str">
        <f ca="1">IF(D82="Total Growth on LY","%",IF(D82="Same Store Growth on LY","%","AUD"))</f>
        <v>%</v>
      </c>
      <c r="G82" s="30">
        <v>-0.12727317538954341</v>
      </c>
      <c r="H82" s="143">
        <v>0</v>
      </c>
      <c r="I82" s="30">
        <v>1.1227511602715081</v>
      </c>
      <c r="J82" s="30">
        <v>-0.16829061340567278</v>
      </c>
      <c r="K82" s="30">
        <v>0.36767803395579418</v>
      </c>
      <c r="L82" s="30">
        <v>-0.23291902890193794</v>
      </c>
    </row>
    <row r="83" spans="1:12" ht="15">
      <c r="A83" t="s">
        <v>43</v>
      </c>
      <c r="C83" s="43" t="s">
        <v>180</v>
      </c>
      <c r="D83" s="44" t="s">
        <v>45</v>
      </c>
      <c r="E83" s="44" t="str">
        <f ca="1">UPPER(D83)</f>
        <v>TOTAL STORE SALES</v>
      </c>
      <c r="F83" s="45" t="str">
        <f ca="1">IF(D83="Total Growth on LY","%",IF(D83="Same Store Growth on LY","%","AUD"))</f>
        <v>AUD</v>
      </c>
      <c r="G83" s="49">
        <v>6229.1000000000004</v>
      </c>
      <c r="H83" s="49">
        <v>10170.4</v>
      </c>
      <c r="I83" s="49">
        <v>10170.4</v>
      </c>
      <c r="J83" s="49">
        <v>5986.3000000000002</v>
      </c>
      <c r="K83" s="49">
        <v>7482.4499999999998</v>
      </c>
      <c r="L83" s="49">
        <v>4706.5</v>
      </c>
    </row>
    <row r="84" spans="1:12" ht="15">
      <c r="A84" t="s">
        <v>11</v>
      </c>
      <c r="C84" s="22" t="s">
        <v>180</v>
      </c>
      <c r="D84" s="13" t="s">
        <v>176</v>
      </c>
      <c r="E84" s="13" t="str">
        <f ca="1">UPPER(D84)</f>
        <v>SAME STORE SALES</v>
      </c>
      <c r="F84" s="23" t="str">
        <f ca="1">IF(D84="Total Growth on LY","%",IF(D84="Same Store Growth on LY","%","AUD"))</f>
        <v>AUD</v>
      </c>
      <c r="G84" s="8">
        <v>6229.0999999999995</v>
      </c>
      <c r="H84" s="8">
        <v>8034.2999999999993</v>
      </c>
      <c r="I84" s="8">
        <v>10170.4</v>
      </c>
      <c r="J84" s="8">
        <v>5986.3000000000002</v>
      </c>
      <c r="K84" s="8">
        <v>7403.9499999999998</v>
      </c>
      <c r="L84" s="8">
        <v>3713</v>
      </c>
    </row>
    <row r="85" spans="1:12" ht="15">
      <c r="A85" t="s">
        <v>61</v>
      </c>
      <c r="C85" s="22" t="s">
        <v>180</v>
      </c>
      <c r="D85" s="13" t="s">
        <v>44</v>
      </c>
      <c r="E85" s="13" t="str">
        <f ca="1">UPPER(D85)</f>
        <v>TOTAL GROWTH ON LY</v>
      </c>
      <c r="F85" s="23" t="str">
        <f ca="1">IF(D85="Total Growth on LY","%",IF(D85="Same Store Growth on LY","%","AUD"))</f>
        <v>%</v>
      </c>
      <c r="G85" s="20">
        <v>-0.38752654762841182</v>
      </c>
      <c r="H85" s="21">
        <v>0</v>
      </c>
      <c r="I85" s="20">
        <v>0.73844076372151846</v>
      </c>
      <c r="J85" s="20">
        <v>-0.21475185119598078</v>
      </c>
      <c r="K85" s="20">
        <v>0.58981196217996379</v>
      </c>
      <c r="L85" s="20">
        <v>-0.54794527126645431</v>
      </c>
    </row>
    <row r="86" spans="1:12" ht="15">
      <c r="A86" t="s">
        <v>47</v>
      </c>
      <c r="C86" s="140" t="s">
        <v>180</v>
      </c>
      <c r="D86" s="141" t="s">
        <v>177</v>
      </c>
      <c r="E86" s="141" t="str">
        <f ca="1">UPPER(D86)</f>
        <v>SAME STORE GROWTH ON LY</v>
      </c>
      <c r="F86" s="142" t="str">
        <f ca="1">IF(D86="Total Growth on LY","%",IF(D86="Same Store Growth on LY","%","AUD"))</f>
        <v>%</v>
      </c>
      <c r="G86" s="30">
        <v>-0.22468665596256052</v>
      </c>
      <c r="H86" s="143">
        <v>0</v>
      </c>
      <c r="I86" s="30">
        <v>0.73844076372151846</v>
      </c>
      <c r="J86" s="30">
        <v>-0.1929436666239745</v>
      </c>
      <c r="K86" s="30">
        <v>0.57313290130670347</v>
      </c>
      <c r="L86" s="30">
        <v>-0.61123879026474082</v>
      </c>
    </row>
    <row r="87" spans="1:12" ht="15">
      <c r="A87" t="s">
        <v>43</v>
      </c>
      <c r="C87" s="43" t="s">
        <v>181</v>
      </c>
      <c r="D87" s="44" t="s">
        <v>45</v>
      </c>
      <c r="E87" s="44" t="str">
        <f ca="1">UPPER(D87)</f>
        <v>TOTAL STORE SALES</v>
      </c>
      <c r="F87" s="45" t="str">
        <f ca="1">IF(D87="Total Growth on LY","%",IF(D87="Same Store Growth on LY","%","AUD"))</f>
        <v>AUD</v>
      </c>
      <c r="G87" s="49">
        <v>99333.109999999971</v>
      </c>
      <c r="H87" s="49">
        <v>79374.529999999999</v>
      </c>
      <c r="I87" s="49">
        <v>79374.529999999999</v>
      </c>
      <c r="J87" s="49">
        <v>58419.939999999988</v>
      </c>
      <c r="K87" s="49">
        <v>45062.889999999999</v>
      </c>
      <c r="L87" s="49">
        <v>34204.700000000004</v>
      </c>
    </row>
    <row r="88" spans="1:12" ht="15">
      <c r="A88" t="s">
        <v>11</v>
      </c>
      <c r="C88" s="22" t="s">
        <v>181</v>
      </c>
      <c r="D88" s="13" t="s">
        <v>176</v>
      </c>
      <c r="E88" s="13" t="str">
        <f ca="1">UPPER(D88)</f>
        <v>SAME STORE SALES</v>
      </c>
      <c r="F88" s="23" t="str">
        <f ca="1">IF(D88="Total Growth on LY","%",IF(D88="Same Store Growth on LY","%","AUD"))</f>
        <v>AUD</v>
      </c>
      <c r="G88" s="8">
        <v>99333.110000000001</v>
      </c>
      <c r="H88" s="8">
        <v>79374.529999999999</v>
      </c>
      <c r="I88" s="8">
        <v>79374.529999999999</v>
      </c>
      <c r="J88" s="8">
        <v>58419.939999999988</v>
      </c>
      <c r="K88" s="8">
        <v>45062.889999999999</v>
      </c>
      <c r="L88" s="8">
        <v>15867.139999999999</v>
      </c>
    </row>
    <row r="89" spans="1:12" ht="15">
      <c r="A89" t="s">
        <v>61</v>
      </c>
      <c r="C89" s="22" t="s">
        <v>181</v>
      </c>
      <c r="D89" s="13" t="s">
        <v>44</v>
      </c>
      <c r="E89" s="13" t="str">
        <f ca="1">UPPER(D89)</f>
        <v>TOTAL GROWTH ON LY</v>
      </c>
      <c r="F89" s="23" t="str">
        <f ca="1">IF(D89="Total Growth on LY","%",IF(D89="Same Store Growth on LY","%","AUD"))</f>
        <v>%</v>
      </c>
      <c r="G89" s="20">
        <v>0.25144816605528231</v>
      </c>
      <c r="H89" s="21">
        <v>0</v>
      </c>
      <c r="I89" s="20">
        <v>0.38238960193039351</v>
      </c>
      <c r="J89" s="20">
        <v>0.26822098067751948</v>
      </c>
      <c r="K89" s="20">
        <v>0.31744730987261965</v>
      </c>
      <c r="L89" s="20">
        <v>-0.49778505187887001</v>
      </c>
    </row>
    <row r="90" spans="1:12" ht="15">
      <c r="A90" t="s">
        <v>47</v>
      </c>
      <c r="C90" s="140" t="s">
        <v>181</v>
      </c>
      <c r="D90" s="141" t="s">
        <v>177</v>
      </c>
      <c r="E90" s="141" t="str">
        <f ca="1">UPPER(D90)</f>
        <v>SAME STORE GROWTH ON LY</v>
      </c>
      <c r="F90" s="142" t="str">
        <f ca="1">IF(D90="Total Growth on LY","%",IF(D90="Same Store Growth on LY","%","AUD"))</f>
        <v>%</v>
      </c>
      <c r="G90" s="30">
        <v>0.25144816605528247</v>
      </c>
      <c r="H90" s="143">
        <v>0</v>
      </c>
      <c r="I90" s="30">
        <v>0.38238960193039351</v>
      </c>
      <c r="J90" s="30">
        <v>0.26822098067751948</v>
      </c>
      <c r="K90" s="30">
        <v>0.31744730987261965</v>
      </c>
      <c r="L90" s="30">
        <v>-0.50609815695026794</v>
      </c>
    </row>
    <row r="92" spans="3:3" ht="15">
      <c r="C92" s="1" t="s">
        <v>95</v>
      </c>
    </row>
    <row r="93" spans="3:12" ht="15">
      <c r="C93" s="297" t="s">
        <v>96</v>
      </c>
      <c r="D93" s="297"/>
      <c r="E93" s="297"/>
      <c r="F93" s="297"/>
      <c r="G93" s="297"/>
      <c r="H93" s="297"/>
      <c r="I93" s="297"/>
      <c r="J93" s="297"/>
      <c r="K93" s="297"/>
      <c r="L93" s="297"/>
    </row>
    <row r="94" spans="3:12" ht="30.75" customHeight="1">
      <c r="C94" s="297" t="s">
        <v>97</v>
      </c>
      <c r="D94" s="297"/>
      <c r="E94" s="297"/>
      <c r="F94" s="297"/>
      <c r="G94" s="297"/>
      <c r="H94" s="297"/>
      <c r="I94" s="297"/>
      <c r="J94" s="297"/>
      <c r="K94" s="297"/>
      <c r="L94" s="297"/>
    </row>
    <row r="95" spans="3:12" ht="15">
      <c r="C95" s="297" t="s">
        <v>113</v>
      </c>
      <c r="D95" s="297"/>
      <c r="E95" s="297"/>
      <c r="F95" s="297"/>
      <c r="G95" s="297"/>
      <c r="H95" s="297"/>
      <c r="I95" s="297"/>
      <c r="J95" s="297"/>
      <c r="K95" s="297"/>
      <c r="L95" s="297"/>
    </row>
    <row r="96" spans="3:12" ht="15">
      <c r="C96" s="297" t="s">
        <v>98</v>
      </c>
      <c r="D96" s="297"/>
      <c r="E96" s="297"/>
      <c r="F96" s="297"/>
      <c r="G96" s="297"/>
      <c r="H96" s="297"/>
      <c r="I96" s="297"/>
      <c r="J96" s="297"/>
      <c r="K96" s="297"/>
      <c r="L96" s="297"/>
    </row>
    <row r="97" spans="3:12" ht="15">
      <c r="C97" s="297" t="s">
        <v>99</v>
      </c>
      <c r="D97" s="297"/>
      <c r="E97" s="297"/>
      <c r="F97" s="297"/>
      <c r="G97" s="297"/>
      <c r="H97" s="297"/>
      <c r="I97" s="297"/>
      <c r="J97" s="297"/>
      <c r="K97" s="297"/>
      <c r="L97" s="297"/>
    </row>
    <row r="98" spans="3:12" ht="15">
      <c r="C98" s="297" t="s">
        <v>100</v>
      </c>
      <c r="D98" s="297"/>
      <c r="E98" s="297"/>
      <c r="F98" s="297"/>
      <c r="G98" s="297"/>
      <c r="H98" s="297"/>
      <c r="I98" s="297"/>
      <c r="J98" s="297"/>
      <c r="K98" s="297"/>
      <c r="L98" s="297"/>
    </row>
    <row r="99" spans="3:12" ht="15">
      <c r="C99" s="297" t="s">
        <v>101</v>
      </c>
      <c r="D99" s="297"/>
      <c r="E99" s="297"/>
      <c r="F99" s="297"/>
      <c r="G99" s="297"/>
      <c r="H99" s="297"/>
      <c r="I99" s="297"/>
      <c r="J99" s="297"/>
      <c r="K99" s="297"/>
      <c r="L99" s="297"/>
    </row>
  </sheetData>
  <mergeCells count="9">
    <mergeCell ref="C97:L97"/>
    <mergeCell ref="C98:L98"/>
    <mergeCell ref="C99:L99"/>
    <mergeCell ref="G32:H32"/>
    <mergeCell ref="G68:H68"/>
    <mergeCell ref="C93:L93"/>
    <mergeCell ref="C94:L94"/>
    <mergeCell ref="C95:L95"/>
    <mergeCell ref="C96:L96"/>
  </mergeCells>
  <pageMargins left="0.708661417322835" right="0.708661417322835" top="0.748031496062992" bottom="0.748031496062992" header="0.31496062992126" footer="0.31496062992126"/>
  <pageSetup orientation="landscape" paperSize="9" scale="56" r:id="rId1"/>
  <customProperties>
    <customPr name="CUSTOMPROP:RWBOOKMARKNAME" r:id="rId2"/>
  </customPropertie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94"/>
  <sheetViews>
    <sheetView showGridLines="0" workbookViewId="0" topLeftCell="B1">
      <pane xSplit="5" ySplit="39" topLeftCell="G40" activePane="bottomRight" state="frozen"/>
      <selection pane="topLeft" activeCell="C71" sqref="C71"/>
      <selection pane="bottomLeft" activeCell="C71" sqref="C71"/>
      <selection pane="topRight" activeCell="C71" sqref="C71"/>
      <selection pane="bottomRight" activeCell="B16" sqref="B16"/>
    </sheetView>
  </sheetViews>
  <sheetFormatPr defaultRowHeight="14.5"/>
  <cols>
    <col min="1" max="1" width="2.72727272727273" hidden="1" customWidth="1"/>
    <col min="2" max="2" width="2.18181818181818" customWidth="1"/>
    <col min="3" max="3" width="34.7272727272727" style="1" customWidth="1"/>
    <col min="4" max="4" width="9" style="1" hidden="1" customWidth="1"/>
    <col min="5" max="5" width="18.7272727272727" style="1" customWidth="1"/>
    <col min="6" max="6" width="14.1818181818182" style="1" customWidth="1"/>
    <col min="7" max="18" width="15.7272727272727" customWidth="1"/>
    <col min="19" max="19" width="15.5454545454545" customWidth="1"/>
    <col min="20" max="20" width="12.2727272727273" customWidth="1"/>
  </cols>
  <sheetData>
    <row r="1" spans="1:1" ht="14.5" hidden="1">
      <c r="A1" t="s">
        <v>12</v>
      </c>
    </row>
    <row r="2" spans="1:20" ht="14.5" hidden="1">
      <c r="A2">
        <f>0</f>
        <v>0</v>
      </c>
      <c r="C2" s="22"/>
      <c r="D2" s="13"/>
      <c r="E2" s="13"/>
      <c r="F2" s="23"/>
      <c r="G2" s="8"/>
      <c r="H2" s="8"/>
      <c r="I2" s="8"/>
      <c r="J2" s="8"/>
      <c r="K2" s="8"/>
      <c r="L2" s="8"/>
      <c r="M2" s="8"/>
      <c r="N2" s="8"/>
      <c r="O2" s="8"/>
      <c r="P2" s="8"/>
      <c r="Q2" s="8"/>
      <c r="R2" s="8"/>
      <c r="S2" s="160"/>
      <c r="T2" s="156"/>
    </row>
    <row r="3" spans="1:20" ht="14.5" hidden="1">
      <c r="A3">
        <f>1</f>
        <v>1</v>
      </c>
      <c r="C3" s="22"/>
      <c r="D3" s="13"/>
      <c r="E3" s="13"/>
      <c r="F3" s="23"/>
      <c r="G3" s="8"/>
      <c r="H3" s="8"/>
      <c r="I3" s="8"/>
      <c r="J3" s="8"/>
      <c r="K3" s="8"/>
      <c r="L3" s="8"/>
      <c r="M3" s="8"/>
      <c r="N3" s="8"/>
      <c r="O3" s="8"/>
      <c r="P3" s="8"/>
      <c r="Q3" s="8"/>
      <c r="R3" s="8"/>
      <c r="S3" s="160"/>
      <c r="T3" s="156"/>
    </row>
    <row r="4" spans="1:20" ht="14.5" hidden="1">
      <c r="A4">
        <f>2</f>
        <v>2</v>
      </c>
      <c r="C4" s="22"/>
      <c r="D4" s="13"/>
      <c r="E4" s="13"/>
      <c r="F4" s="23"/>
      <c r="G4" s="10"/>
      <c r="H4" s="8"/>
      <c r="I4" s="8"/>
      <c r="J4" s="8"/>
      <c r="K4" s="8"/>
      <c r="L4" s="8"/>
      <c r="M4" s="8"/>
      <c r="N4" s="8"/>
      <c r="O4" s="8"/>
      <c r="P4" s="8"/>
      <c r="Q4" s="8"/>
      <c r="R4" s="8"/>
      <c r="S4" s="160"/>
      <c r="T4" s="156"/>
    </row>
    <row r="5" spans="1:20" ht="14.5" hidden="1">
      <c r="A5">
        <f>3</f>
        <v>3</v>
      </c>
      <c r="C5" s="22"/>
      <c r="D5" s="13"/>
      <c r="E5" s="13"/>
      <c r="F5" s="23"/>
      <c r="G5" s="8"/>
      <c r="H5" s="8"/>
      <c r="I5" s="8"/>
      <c r="J5" s="8"/>
      <c r="K5" s="8"/>
      <c r="L5" s="8"/>
      <c r="M5" s="8"/>
      <c r="N5" s="8"/>
      <c r="O5" s="8"/>
      <c r="P5" s="8"/>
      <c r="Q5" s="8"/>
      <c r="R5" s="8"/>
      <c r="S5" s="160"/>
      <c r="T5" s="156"/>
    </row>
    <row r="6" spans="1:20" ht="14.5" hidden="1">
      <c r="A6" t="s">
        <v>10</v>
      </c>
      <c r="C6" s="22"/>
      <c r="D6" s="13"/>
      <c r="E6" s="13"/>
      <c r="F6" s="23"/>
      <c r="G6" s="8"/>
      <c r="H6" s="8"/>
      <c r="I6" s="8"/>
      <c r="J6" s="8"/>
      <c r="K6" s="8"/>
      <c r="L6" s="8"/>
      <c r="M6" s="8"/>
      <c r="N6" s="8"/>
      <c r="O6" s="8"/>
      <c r="P6" s="8"/>
      <c r="Q6" s="8"/>
      <c r="R6" s="8"/>
      <c r="S6" s="160"/>
      <c r="T6" s="156"/>
    </row>
    <row r="7" spans="1:20" ht="14.5" hidden="1">
      <c r="A7" t="s">
        <v>11</v>
      </c>
      <c r="C7" s="22"/>
      <c r="D7" s="13"/>
      <c r="E7" s="13"/>
      <c r="F7" s="23"/>
      <c r="G7" s="8"/>
      <c r="H7" s="8"/>
      <c r="I7" s="8"/>
      <c r="J7" s="8"/>
      <c r="K7" s="8"/>
      <c r="L7" s="8"/>
      <c r="M7" s="8"/>
      <c r="N7" s="8"/>
      <c r="O7" s="8"/>
      <c r="P7" s="8"/>
      <c r="Q7" s="8"/>
      <c r="R7" s="8"/>
      <c r="S7" s="160"/>
      <c r="T7" s="156"/>
    </row>
    <row r="8" spans="1:20" ht="14.5" hidden="1">
      <c r="A8" t="s">
        <v>43</v>
      </c>
      <c r="C8" s="43"/>
      <c r="D8" s="44"/>
      <c r="E8" s="44"/>
      <c r="F8" s="45"/>
      <c r="G8" s="49"/>
      <c r="H8" s="49"/>
      <c r="I8" s="49"/>
      <c r="J8" s="49"/>
      <c r="K8" s="49"/>
      <c r="L8" s="49"/>
      <c r="M8" s="49"/>
      <c r="N8" s="49"/>
      <c r="O8" s="49"/>
      <c r="P8" s="49"/>
      <c r="Q8" s="49"/>
      <c r="R8" s="49"/>
      <c r="S8" s="161"/>
      <c r="T8" s="156"/>
    </row>
    <row r="9" spans="1:20" ht="14.5" hidden="1">
      <c r="A9" t="s">
        <v>47</v>
      </c>
      <c r="B9" s="31"/>
      <c r="C9" s="140"/>
      <c r="D9" s="141"/>
      <c r="E9" s="141"/>
      <c r="F9" s="142"/>
      <c r="G9" s="30"/>
      <c r="H9" s="30"/>
      <c r="I9" s="30"/>
      <c r="J9" s="30"/>
      <c r="K9" s="30"/>
      <c r="L9" s="30"/>
      <c r="M9" s="30"/>
      <c r="N9" s="30"/>
      <c r="O9" s="30"/>
      <c r="P9" s="30"/>
      <c r="Q9" s="30"/>
      <c r="R9" s="30"/>
      <c r="S9" s="162"/>
      <c r="T9" s="164"/>
    </row>
    <row r="10" spans="1:20" ht="14.5" hidden="1">
      <c r="A10" t="s">
        <v>61</v>
      </c>
      <c r="C10" s="22"/>
      <c r="D10" s="13"/>
      <c r="E10" s="13"/>
      <c r="F10" s="23"/>
      <c r="G10" s="20"/>
      <c r="H10" s="20"/>
      <c r="I10" s="20"/>
      <c r="J10" s="20"/>
      <c r="K10" s="20"/>
      <c r="L10" s="20"/>
      <c r="M10" s="20"/>
      <c r="N10" s="20"/>
      <c r="O10" s="20"/>
      <c r="P10" s="20"/>
      <c r="Q10" s="20"/>
      <c r="R10" s="20"/>
      <c r="S10" s="163"/>
      <c r="T10" s="164"/>
    </row>
    <row r="11" spans="1:20" ht="14.5" hidden="1">
      <c r="A11" t="s">
        <v>109</v>
      </c>
      <c r="C11" s="22"/>
      <c r="D11" s="13"/>
      <c r="E11" s="13"/>
      <c r="F11" s="23"/>
      <c r="G11" s="8"/>
      <c r="H11" s="8"/>
      <c r="I11" s="8"/>
      <c r="J11" s="8"/>
      <c r="K11" s="8"/>
      <c r="L11" s="8"/>
      <c r="M11" s="8"/>
      <c r="N11" s="8"/>
      <c r="O11" s="8"/>
      <c r="P11" s="8"/>
      <c r="Q11" s="8"/>
      <c r="R11" s="8"/>
      <c r="S11" s="160"/>
      <c r="T11" s="181"/>
    </row>
    <row r="12" spans="1:20" ht="14.5" hidden="1">
      <c r="A12" t="s">
        <v>110</v>
      </c>
      <c r="C12" s="22"/>
      <c r="D12" s="13"/>
      <c r="E12" s="13"/>
      <c r="F12" s="23"/>
      <c r="G12" s="8"/>
      <c r="H12" s="8"/>
      <c r="I12" s="8"/>
      <c r="J12" s="8"/>
      <c r="K12" s="8"/>
      <c r="L12" s="8"/>
      <c r="M12" s="8"/>
      <c r="N12" s="8"/>
      <c r="O12" s="8"/>
      <c r="P12" s="8"/>
      <c r="Q12" s="8"/>
      <c r="R12" s="8"/>
      <c r="S12" s="160"/>
      <c r="T12" s="184"/>
    </row>
    <row r="13" spans="1:1" ht="14.5" hidden="1">
      <c r="A13" t="s">
        <v>13</v>
      </c>
    </row>
    <row r="14" spans="3:3" ht="14.5" hidden="1">
      <c r="C14" s="1" t="s">
        <v>275</v>
      </c>
    </row>
    <row r="15" spans="3:3" ht="14.5" hidden="1">
      <c r="C15" s="1" t="s">
        <v>274</v>
      </c>
    </row>
    <row r="17" spans="3:20" ht="14.25" customHeight="1">
      <c r="C17" s="6" t="s">
        <v>40</v>
      </c>
      <c r="D17" s="6"/>
      <c r="E17" s="6"/>
      <c r="F17" s="6"/>
      <c r="G17" s="17"/>
      <c r="H17" s="17"/>
      <c r="I17" s="17"/>
      <c r="J17" s="17"/>
      <c r="K17" s="17"/>
      <c r="L17" s="16"/>
      <c r="M17" s="16"/>
      <c r="N17" s="16"/>
      <c r="O17" s="16"/>
      <c r="P17" s="16"/>
      <c r="Q17" s="16"/>
      <c r="R17" s="6"/>
      <c r="S17" s="6"/>
      <c r="T17" s="6" t="str">
        <f ca="1">D26</f>
        <v>MERCI</v>
      </c>
    </row>
    <row r="18" ht="14.5" hidden="1"/>
    <row r="19" ht="14.5" hidden="1"/>
    <row r="20" spans="3:4" ht="14.5" hidden="1">
      <c r="C20" s="18" t="s">
        <v>0</v>
      </c>
      <c r="D20" s="18" t="s">
        <v>152</v>
      </c>
    </row>
    <row r="21" spans="3:10" ht="14.5" hidden="1">
      <c r="C21" s="18" t="s">
        <v>1</v>
      </c>
      <c r="D21" s="18" t="s">
        <v>246</v>
      </c>
      <c r="I21" s="19" t="s">
        <v>18</v>
      </c>
      <c r="J21" s="19" t="s">
        <v>272</v>
      </c>
    </row>
    <row r="22" spans="3:10" ht="14.5" hidden="1">
      <c r="C22" s="18" t="s">
        <v>2</v>
      </c>
      <c r="D22" s="18" t="s">
        <v>20</v>
      </c>
      <c r="I22" s="19" t="s">
        <v>16</v>
      </c>
      <c r="J22" s="19"/>
    </row>
    <row r="23" spans="3:4" ht="14.5" hidden="1">
      <c r="C23" s="18" t="s">
        <v>3</v>
      </c>
      <c r="D23" s="18" t="s">
        <v>276</v>
      </c>
    </row>
    <row r="24" spans="3:4" ht="14.5" hidden="1">
      <c r="C24" s="18" t="s">
        <v>4</v>
      </c>
      <c r="D24" s="18" t="s">
        <v>273</v>
      </c>
    </row>
    <row r="25" spans="3:4" ht="14.5" hidden="1">
      <c r="C25" s="18" t="s">
        <v>5</v>
      </c>
      <c r="D25" s="18" t="s">
        <v>143</v>
      </c>
    </row>
    <row r="26" spans="3:4" ht="14.5" hidden="1">
      <c r="C26" s="18" t="s">
        <v>6</v>
      </c>
      <c r="D26" s="18" t="str">
        <f ca="1">Master!A24</f>
        <v>MERCI</v>
      </c>
    </row>
    <row r="27" spans="3:4" ht="14.5" hidden="1">
      <c r="C27" s="18" t="s">
        <v>7</v>
      </c>
      <c r="D27" s="18" t="s">
        <v>133</v>
      </c>
    </row>
    <row r="28" spans="3:8" ht="14.5" hidden="1">
      <c r="C28" s="18" t="s">
        <v>14</v>
      </c>
      <c r="D28" s="18" t="str">
        <f ca="1">Master!A25</f>
        <v>YTD 2025.M12</v>
      </c>
      <c r="E28" s="18"/>
      <c r="F28" s="18" t="str">
        <f ca="1">"YTD "&amp;(D29-1)&amp;"."&amp;RIGHT(D28,3)</f>
        <v>YTD 2024.M12</v>
      </c>
      <c r="G28" s="18" t="str">
        <f ca="1">MID(D28,5,8)</f>
        <v>2025.M12</v>
      </c>
      <c r="H28" s="18" t="s">
        <v>268</v>
      </c>
    </row>
    <row r="29" spans="3:4" ht="14.5" hidden="1">
      <c r="C29" s="18" t="s">
        <v>15</v>
      </c>
      <c r="D29" s="18" t="str">
        <f ca="1">MID(D28,5,4)</f>
        <v>2025</v>
      </c>
    </row>
    <row r="30" spans="3:20" ht="14.5" hidden="1">
      <c r="C30" s="1" t="s">
        <v>41</v>
      </c>
      <c r="T30" s="1" t="str">
        <f ca="1">$H$28&amp;" "&amp;$D$29</f>
        <v>December 2025</v>
      </c>
    </row>
    <row r="32" spans="3:3" ht="14.5">
      <c r="C32" s="1" t="s">
        <v>42</v>
      </c>
    </row>
    <row r="33" spans="3:20" ht="14.5" hidden="1">
      <c r="C33" s="1" t="s">
        <v>68</v>
      </c>
      <c r="D33"/>
      <c r="E33"/>
      <c r="F33"/>
      <c r="G33">
        <v>1</v>
      </c>
      <c r="H33">
        <v>1</v>
      </c>
      <c r="I33">
        <v>1</v>
      </c>
      <c r="J33">
        <v>1</v>
      </c>
      <c r="K33">
        <v>1</v>
      </c>
      <c r="L33">
        <v>1</v>
      </c>
      <c r="M33">
        <v>1</v>
      </c>
      <c r="N33">
        <v>1</v>
      </c>
      <c r="O33">
        <v>1</v>
      </c>
      <c r="P33">
        <v>1</v>
      </c>
      <c r="Q33">
        <v>1</v>
      </c>
      <c r="R33">
        <v>1</v>
      </c>
      <c r="S33">
        <v>1</v>
      </c>
      <c r="T33">
        <v>1</v>
      </c>
    </row>
    <row r="34" spans="3:20" ht="14.5">
      <c r="C34" s="88" t="s">
        <v>38</v>
      </c>
      <c r="D34" s="89"/>
      <c r="E34" s="89"/>
      <c r="F34" s="89"/>
      <c r="G34" s="90" t="s">
        <v>267</v>
      </c>
      <c r="H34" s="90" t="s">
        <v>244</v>
      </c>
      <c r="I34" s="90" t="s">
        <v>269</v>
      </c>
      <c r="J34" s="90" t="s">
        <v>242</v>
      </c>
      <c r="K34" s="90" t="s">
        <v>264</v>
      </c>
      <c r="L34" s="90" t="s">
        <v>266</v>
      </c>
      <c r="M34" s="90" t="s">
        <v>386</v>
      </c>
      <c r="N34" s="90" t="s">
        <v>387</v>
      </c>
      <c r="O34" s="90" t="s">
        <v>388</v>
      </c>
      <c r="P34" s="90" t="s">
        <v>389</v>
      </c>
      <c r="Q34" s="90" t="s">
        <v>390</v>
      </c>
      <c r="R34" s="90" t="s">
        <v>391</v>
      </c>
      <c r="S34" s="87" t="str">
        <f ca="1">"YTD "&amp;$D$29</f>
        <v>YTD 2025</v>
      </c>
      <c r="T34" s="87" t="s">
        <v>108</v>
      </c>
    </row>
    <row r="35" spans="3:20" ht="14.5">
      <c r="C35" s="91" t="s">
        <v>233</v>
      </c>
      <c r="D35" s="246"/>
      <c r="E35" s="246"/>
      <c r="F35" s="246"/>
      <c r="G35" s="246" t="s">
        <v>392</v>
      </c>
      <c r="H35" s="246" t="s">
        <v>393</v>
      </c>
      <c r="I35" s="246" t="s">
        <v>394</v>
      </c>
      <c r="J35" s="246" t="s">
        <v>395</v>
      </c>
      <c r="K35" s="246" t="s">
        <v>396</v>
      </c>
      <c r="L35" s="246" t="s">
        <v>397</v>
      </c>
      <c r="M35" s="246" t="s">
        <v>398</v>
      </c>
      <c r="N35" s="246" t="s">
        <v>399</v>
      </c>
      <c r="O35" s="246" t="s">
        <v>400</v>
      </c>
      <c r="P35" s="246" t="s">
        <v>401</v>
      </c>
      <c r="Q35" s="246" t="s">
        <v>402</v>
      </c>
      <c r="R35" s="246" t="s">
        <v>403</v>
      </c>
      <c r="S35" s="299"/>
      <c r="T35" s="299"/>
    </row>
    <row r="36" spans="3:20" ht="14.5">
      <c r="C36" s="91" t="s">
        <v>234</v>
      </c>
      <c r="D36" s="246"/>
      <c r="E36" s="246"/>
      <c r="F36" s="246"/>
      <c r="G36" s="246" t="s">
        <v>404</v>
      </c>
      <c r="H36" s="246" t="s">
        <v>405</v>
      </c>
      <c r="I36" s="246" t="s">
        <v>406</v>
      </c>
      <c r="J36" s="246" t="s">
        <v>407</v>
      </c>
      <c r="K36" s="246" t="s">
        <v>408</v>
      </c>
      <c r="L36" s="246" t="s">
        <v>409</v>
      </c>
      <c r="M36" s="246" t="s">
        <v>410</v>
      </c>
      <c r="N36" s="246" t="s">
        <v>411</v>
      </c>
      <c r="O36" s="246" t="s">
        <v>412</v>
      </c>
      <c r="P36" s="246" t="s">
        <v>413</v>
      </c>
      <c r="Q36" s="246" t="s">
        <v>414</v>
      </c>
      <c r="R36" s="246" t="s">
        <v>415</v>
      </c>
      <c r="S36" s="299"/>
      <c r="T36" s="299"/>
    </row>
    <row r="37" spans="3:20" ht="14.5">
      <c r="C37" s="91" t="s">
        <v>39</v>
      </c>
      <c r="D37" s="246"/>
      <c r="E37" s="246"/>
      <c r="F37" s="246"/>
      <c r="G37" s="246">
        <v>4</v>
      </c>
      <c r="H37" s="246">
        <v>4</v>
      </c>
      <c r="I37" s="246">
        <v>5</v>
      </c>
      <c r="J37" s="246">
        <v>4</v>
      </c>
      <c r="K37" s="246">
        <v>4</v>
      </c>
      <c r="L37" s="246">
        <v>5</v>
      </c>
      <c r="M37" s="246">
        <v>4</v>
      </c>
      <c r="N37" s="246">
        <v>4</v>
      </c>
      <c r="O37" s="246">
        <v>5</v>
      </c>
      <c r="P37" s="246">
        <v>4</v>
      </c>
      <c r="Q37" s="246">
        <v>4</v>
      </c>
      <c r="R37" s="246">
        <v>5</v>
      </c>
      <c r="S37" s="299">
        <v>52</v>
      </c>
      <c r="T37" s="299"/>
    </row>
    <row r="38" spans="7:20" ht="14.5" hidden="1">
      <c r="G38" s="4" t="str">
        <f ca="1">$D$29&amp;".M01"</f>
        <v>2025.M01</v>
      </c>
      <c r="H38" s="4" t="str">
        <f ca="1">$D$29&amp;".M02"</f>
        <v>2025.M02</v>
      </c>
      <c r="I38" s="4" t="str">
        <f ca="1">$D$29&amp;".M03"</f>
        <v>2025.M03</v>
      </c>
      <c r="J38" s="4" t="str">
        <f ca="1">$D$29&amp;".M04"</f>
        <v>2025.M04</v>
      </c>
      <c r="K38" s="4" t="str">
        <f ca="1">$D$29&amp;".M05"</f>
        <v>2025.M05</v>
      </c>
      <c r="L38" s="4" t="str">
        <f ca="1">$D$29&amp;".M06"</f>
        <v>2025.M06</v>
      </c>
      <c r="M38" s="4" t="str">
        <f ca="1">$D$29&amp;".M07"</f>
        <v>2025.M07</v>
      </c>
      <c r="N38" s="4" t="str">
        <f ca="1">$D$29&amp;".M08"</f>
        <v>2025.M08</v>
      </c>
      <c r="O38" s="4" t="str">
        <f ca="1">$D$29&amp;".M09"</f>
        <v>2025.M09</v>
      </c>
      <c r="P38" s="4" t="str">
        <f ca="1">$D$29&amp;".M10"</f>
        <v>2025.M10</v>
      </c>
      <c r="Q38" s="4" t="str">
        <f ca="1">$D$29&amp;".M11"</f>
        <v>2025.M11</v>
      </c>
      <c r="R38" s="4" t="str">
        <f ca="1">$D$29&amp;".M12"</f>
        <v>2025.M12</v>
      </c>
      <c r="S38" t="str">
        <f ca="1">$D$28</f>
        <v>YTD 2025.M12</v>
      </c>
      <c r="T38" t="str">
        <f ca="1">$D$28</f>
        <v>YTD 2025.M12</v>
      </c>
    </row>
    <row r="39" spans="7:20" ht="14.5" hidden="1">
      <c r="G39" s="4" t="s">
        <v>8</v>
      </c>
      <c r="H39" s="4" t="s">
        <v>8</v>
      </c>
      <c r="I39" s="4" t="s">
        <v>8</v>
      </c>
      <c r="J39" s="4" t="s">
        <v>8</v>
      </c>
      <c r="K39" s="4" t="s">
        <v>8</v>
      </c>
      <c r="L39" s="4" t="s">
        <v>8</v>
      </c>
      <c r="M39" s="4" t="s">
        <v>8</v>
      </c>
      <c r="N39" s="4" t="s">
        <v>8</v>
      </c>
      <c r="O39" s="4" t="s">
        <v>8</v>
      </c>
      <c r="P39" s="4" t="s">
        <v>8</v>
      </c>
      <c r="Q39" s="4" t="s">
        <v>8</v>
      </c>
      <c r="R39" s="4" t="s">
        <v>8</v>
      </c>
      <c r="S39" s="4" t="s">
        <v>8</v>
      </c>
      <c r="T39" s="4" t="s">
        <v>74</v>
      </c>
    </row>
    <row r="40" spans="1:20" ht="14.5">
      <c r="A40" t="s">
        <v>109</v>
      </c>
      <c r="C40" s="22" t="s">
        <v>175</v>
      </c>
      <c r="D40" s="13"/>
      <c r="E40" s="13"/>
      <c r="F40" s="23" t="s">
        <v>25</v>
      </c>
      <c r="G40" s="8">
        <v>59</v>
      </c>
      <c r="H40" s="8">
        <v>91</v>
      </c>
      <c r="I40" s="8">
        <v>39</v>
      </c>
      <c r="J40" s="8">
        <v>61.919999999999995</v>
      </c>
      <c r="K40" s="8">
        <v>70</v>
      </c>
      <c r="L40" s="8">
        <v>117</v>
      </c>
      <c r="M40" s="8">
        <v>83.879999999999995</v>
      </c>
      <c r="N40" s="8">
        <v>67</v>
      </c>
      <c r="O40" s="8">
        <v>77.980000000000004</v>
      </c>
      <c r="P40" s="8">
        <v>42</v>
      </c>
      <c r="Q40" s="8">
        <v>0</v>
      </c>
      <c r="R40" s="8">
        <v>67</v>
      </c>
      <c r="S40" s="160">
        <v>775.77999999999997</v>
      </c>
      <c r="T40" s="181">
        <v>0.0014536743926012179</v>
      </c>
    </row>
    <row r="41" spans="1:20" ht="14.5">
      <c r="A41" t="s">
        <v>109</v>
      </c>
      <c r="C41" s="22" t="s">
        <v>178</v>
      </c>
      <c r="D41" s="13"/>
      <c r="E41" s="13"/>
      <c r="F41" s="23" t="s">
        <v>25</v>
      </c>
      <c r="G41" s="8">
        <v>17272.799999999999</v>
      </c>
      <c r="H41" s="8">
        <v>14399.609999999997</v>
      </c>
      <c r="I41" s="8">
        <v>14744.529999999995</v>
      </c>
      <c r="J41" s="8">
        <v>14021.249999999998</v>
      </c>
      <c r="K41" s="8">
        <v>10553.99</v>
      </c>
      <c r="L41" s="8">
        <v>13839.280000000001</v>
      </c>
      <c r="M41" s="8">
        <v>12609.729999999998</v>
      </c>
      <c r="N41" s="8">
        <v>10210.58</v>
      </c>
      <c r="O41" s="8">
        <v>10521.889999999999</v>
      </c>
      <c r="P41" s="8">
        <v>6384.3600000000006</v>
      </c>
      <c r="Q41" s="8">
        <v>6462.6999999999989</v>
      </c>
      <c r="R41" s="8">
        <v>15552.24</v>
      </c>
      <c r="S41" s="160">
        <v>146572.95999999999</v>
      </c>
      <c r="T41" s="181">
        <v>0.27465178091696435</v>
      </c>
    </row>
    <row r="42" spans="1:20" ht="14.5">
      <c r="A42" t="s">
        <v>109</v>
      </c>
      <c r="C42" s="22" t="s">
        <v>179</v>
      </c>
      <c r="D42" s="13"/>
      <c r="E42" s="13"/>
      <c r="F42" s="23" t="s">
        <v>25</v>
      </c>
      <c r="G42" s="8">
        <v>29761.579999999998</v>
      </c>
      <c r="H42" s="8">
        <v>24532.759999999995</v>
      </c>
      <c r="I42" s="8">
        <v>27571.459999999995</v>
      </c>
      <c r="J42" s="8">
        <v>24013.929999999997</v>
      </c>
      <c r="K42" s="8">
        <v>19009.590000000004</v>
      </c>
      <c r="L42" s="8">
        <v>24582.279999999999</v>
      </c>
      <c r="M42" s="8">
        <v>22441.350000000002</v>
      </c>
      <c r="N42" s="8">
        <v>17962.700000000001</v>
      </c>
      <c r="O42" s="8">
        <v>21366.549999999999</v>
      </c>
      <c r="P42" s="8">
        <v>17165.580000000002</v>
      </c>
      <c r="Q42" s="8">
        <v>15232.479999999998</v>
      </c>
      <c r="R42" s="8">
        <v>37117.130000000012</v>
      </c>
      <c r="S42" s="160">
        <v>280757.38999999996</v>
      </c>
      <c r="T42" s="181">
        <v>0.52608964961271643</v>
      </c>
    </row>
    <row r="43" spans="1:20" ht="14.5">
      <c r="A43" t="s">
        <v>109</v>
      </c>
      <c r="C43" s="22" t="s">
        <v>180</v>
      </c>
      <c r="D43" s="13"/>
      <c r="E43" s="13"/>
      <c r="F43" s="23" t="s">
        <v>25</v>
      </c>
      <c r="G43" s="8">
        <v>983</v>
      </c>
      <c r="H43" s="8">
        <v>798.70000000000005</v>
      </c>
      <c r="I43" s="8">
        <v>998.39999999999998</v>
      </c>
      <c r="J43" s="8">
        <v>652.29999999999995</v>
      </c>
      <c r="K43" s="8">
        <v>637.5</v>
      </c>
      <c r="L43" s="8">
        <v>720.39999999999998</v>
      </c>
      <c r="M43" s="8">
        <v>557.79999999999995</v>
      </c>
      <c r="N43" s="8">
        <v>403.80000000000001</v>
      </c>
      <c r="O43" s="8">
        <v>262.19999999999999</v>
      </c>
      <c r="P43" s="8">
        <v>64</v>
      </c>
      <c r="Q43" s="8">
        <v>52</v>
      </c>
      <c r="R43" s="8">
        <v>99</v>
      </c>
      <c r="S43" s="160">
        <v>6229.1000000000004</v>
      </c>
      <c r="T43" s="181">
        <v>0.011672230734167219</v>
      </c>
    </row>
    <row r="44" spans="1:20" ht="14.5">
      <c r="A44" t="s">
        <v>110</v>
      </c>
      <c r="C44" s="22" t="s">
        <v>181</v>
      </c>
      <c r="D44" s="13"/>
      <c r="E44" s="13"/>
      <c r="F44" s="23" t="s">
        <v>25</v>
      </c>
      <c r="G44" s="8">
        <v>7573</v>
      </c>
      <c r="H44" s="8">
        <v>6560.9300000000003</v>
      </c>
      <c r="I44" s="8">
        <v>6503.7799999999997</v>
      </c>
      <c r="J44" s="8">
        <v>5055.8500000000004</v>
      </c>
      <c r="K44" s="8">
        <v>7661.4500000000007</v>
      </c>
      <c r="L44" s="8">
        <v>5468.2900000000009</v>
      </c>
      <c r="M44" s="8">
        <v>11851.07</v>
      </c>
      <c r="N44" s="8">
        <v>8425.7099999999991</v>
      </c>
      <c r="O44" s="8">
        <v>8077.1999999999998</v>
      </c>
      <c r="P44" s="8">
        <v>9845.3500000000004</v>
      </c>
      <c r="Q44" s="8">
        <v>8475.7599999999984</v>
      </c>
      <c r="R44" s="8">
        <v>13834.719999999999</v>
      </c>
      <c r="S44" s="160">
        <v>99333.109999999971</v>
      </c>
      <c r="T44" s="184">
        <v>0.18613266434355097</v>
      </c>
    </row>
    <row r="45" spans="3:20" ht="4.5" customHeight="1">
      <c r="C45" s="25"/>
      <c r="D45" s="11"/>
      <c r="E45" s="11"/>
      <c r="F45" s="14"/>
      <c r="G45" s="15"/>
      <c r="H45" s="15"/>
      <c r="I45" s="15"/>
      <c r="J45" s="15"/>
      <c r="K45" s="15"/>
      <c r="L45" s="15"/>
      <c r="M45" s="15"/>
      <c r="N45" s="15"/>
      <c r="O45" s="15"/>
      <c r="P45" s="15"/>
      <c r="Q45" s="15"/>
      <c r="R45" s="157"/>
      <c r="S45" s="171"/>
      <c r="T45" s="12"/>
    </row>
    <row r="46" spans="19:19" ht="14.5" hidden="1">
      <c r="S46" s="172"/>
    </row>
    <row r="47" spans="3:19" ht="14.5" hidden="1">
      <c r="C47" s="1" t="s">
        <v>18</v>
      </c>
      <c r="D47" s="1" t="str">
        <f>"Mecca:RPT Item Store Sales Monthly"</f>
        <v>Mecca:RPT Item Store Sales Monthly</v>
      </c>
      <c r="S47" s="172"/>
    </row>
    <row r="48" spans="3:19" ht="14.5" hidden="1">
      <c r="C48" s="1" t="s">
        <v>21</v>
      </c>
      <c r="D48" s="1" t="s">
        <v>271</v>
      </c>
      <c r="S48" s="172"/>
    </row>
    <row r="49" spans="19:19" ht="14.5" hidden="1">
      <c r="S49" s="172"/>
    </row>
    <row r="50" spans="19:19" ht="14.5" hidden="1">
      <c r="S50" s="172"/>
    </row>
    <row r="51" spans="7:19" ht="14.5" hidden="1">
      <c r="G51" s="5" t="str">
        <f ca="1" t="shared" si="0" ref="G51:S51">G38</f>
        <v>2025.M01</v>
      </c>
      <c r="H51" s="5" t="str">
        <f t="shared" ca="1" si="0"/>
        <v>2025.M02</v>
      </c>
      <c r="I51" s="5" t="str">
        <f t="shared" ca="1" si="0"/>
        <v>2025.M03</v>
      </c>
      <c r="J51" s="5" t="str">
        <f t="shared" ca="1" si="0"/>
        <v>2025.M04</v>
      </c>
      <c r="K51" s="5" t="str">
        <f t="shared" ca="1" si="0"/>
        <v>2025.M05</v>
      </c>
      <c r="L51" s="5" t="str">
        <f t="shared" ca="1" si="0"/>
        <v>2025.M06</v>
      </c>
      <c r="M51" s="5" t="str">
        <f t="shared" ca="1" si="0"/>
        <v>2025.M07</v>
      </c>
      <c r="N51" s="5" t="str">
        <f t="shared" ca="1" si="0"/>
        <v>2025.M08</v>
      </c>
      <c r="O51" s="5" t="str">
        <f t="shared" ca="1" si="0"/>
        <v>2025.M09</v>
      </c>
      <c r="P51" s="5" t="str">
        <f t="shared" ca="1" si="0"/>
        <v>2025.M10</v>
      </c>
      <c r="Q51" s="5" t="str">
        <f t="shared" ca="1" si="0"/>
        <v>2025.M11</v>
      </c>
      <c r="R51" s="5" t="str">
        <f t="shared" ca="1" si="0"/>
        <v>2025.M12</v>
      </c>
      <c r="S51" s="172" t="str">
        <f t="shared" ca="1" si="0"/>
        <v>YTD 2025.M12</v>
      </c>
    </row>
    <row r="52" spans="7:19" ht="14.5" hidden="1">
      <c r="G52" t="s">
        <v>8</v>
      </c>
      <c r="H52" t="s">
        <v>8</v>
      </c>
      <c r="I52" t="s">
        <v>8</v>
      </c>
      <c r="J52" t="s">
        <v>8</v>
      </c>
      <c r="K52" t="s">
        <v>8</v>
      </c>
      <c r="L52" t="s">
        <v>8</v>
      </c>
      <c r="M52" t="s">
        <v>8</v>
      </c>
      <c r="N52" t="s">
        <v>8</v>
      </c>
      <c r="O52" t="s">
        <v>8</v>
      </c>
      <c r="P52" t="s">
        <v>8</v>
      </c>
      <c r="Q52" t="s">
        <v>8</v>
      </c>
      <c r="R52" t="s">
        <v>8</v>
      </c>
      <c r="S52" s="172" t="s">
        <v>8</v>
      </c>
    </row>
    <row r="53" spans="1:19" ht="14.5">
      <c r="A53" t="s">
        <v>20</v>
      </c>
      <c r="C53" s="32" t="s">
        <v>22</v>
      </c>
      <c r="F53" s="26" t="s">
        <v>25</v>
      </c>
      <c r="G53" s="8">
        <v>55649.379999999997</v>
      </c>
      <c r="H53" s="8">
        <v>46383</v>
      </c>
      <c r="I53" s="8">
        <v>49857.169999999998</v>
      </c>
      <c r="J53" s="8">
        <v>43805.25</v>
      </c>
      <c r="K53" s="8">
        <v>37932.529999999999</v>
      </c>
      <c r="L53" s="8">
        <v>44727.25</v>
      </c>
      <c r="M53" s="8">
        <v>47543.830000000002</v>
      </c>
      <c r="N53" s="8">
        <v>37069.790000000001</v>
      </c>
      <c r="O53" s="8">
        <v>40305.82</v>
      </c>
      <c r="P53" s="8">
        <v>33501.290000000001</v>
      </c>
      <c r="Q53" s="8">
        <v>30222.939999999999</v>
      </c>
      <c r="R53" s="9">
        <v>66670.089999999997</v>
      </c>
      <c r="S53" s="173">
        <v>533668.33999999997</v>
      </c>
    </row>
    <row r="54" spans="1:19" ht="14.5">
      <c r="A54" t="s">
        <v>19</v>
      </c>
      <c r="C54" s="32" t="s">
        <v>23</v>
      </c>
      <c r="F54" s="26" t="s">
        <v>25</v>
      </c>
      <c r="G54" s="8">
        <v>49661.370000000003</v>
      </c>
      <c r="H54" s="8">
        <v>41579.43</v>
      </c>
      <c r="I54" s="8">
        <v>44464.739999999998</v>
      </c>
      <c r="J54" s="8">
        <v>39448.25</v>
      </c>
      <c r="K54" s="8">
        <v>35801.129999999997</v>
      </c>
      <c r="L54" s="8">
        <v>40929.650000000001</v>
      </c>
      <c r="M54" s="8">
        <v>43628.519999999997</v>
      </c>
      <c r="N54" s="8">
        <v>33715.989999999998</v>
      </c>
      <c r="O54" s="8">
        <v>35237.129999999997</v>
      </c>
      <c r="P54" s="8">
        <v>29533.369999999999</v>
      </c>
      <c r="Q54" s="8">
        <v>26656.5</v>
      </c>
      <c r="R54" s="9">
        <v>58878.07</v>
      </c>
      <c r="S54" s="173">
        <v>479534.15000000002</v>
      </c>
    </row>
    <row r="55" spans="3:19" ht="14.5">
      <c r="C55" s="33" t="s">
        <v>24</v>
      </c>
      <c r="D55" s="29"/>
      <c r="E55" s="29"/>
      <c r="F55" s="27" t="s">
        <v>25</v>
      </c>
      <c r="G55" s="65">
        <f ca="1">IF(G$33=1,(G53/G$37),0)</f>
        <v>13912.344999999999</v>
      </c>
      <c r="H55" s="65">
        <f ca="1" t="shared" si="1" ref="H55:S55">IF(H$33=1,(H53/H$37),0)</f>
        <v>11595.75</v>
      </c>
      <c r="I55" s="65">
        <f t="shared" ca="1" si="1"/>
        <v>9971.4339999999993</v>
      </c>
      <c r="J55" s="65">
        <f t="shared" ca="1" si="1"/>
        <v>10951.3125</v>
      </c>
      <c r="K55" s="65">
        <f t="shared" ca="1" si="1"/>
        <v>9483.1324999999997</v>
      </c>
      <c r="L55" s="65">
        <f t="shared" ca="1" si="1"/>
        <v>8945.4500000000007</v>
      </c>
      <c r="M55" s="65">
        <f t="shared" ca="1" si="1"/>
        <v>11885.9575</v>
      </c>
      <c r="N55" s="65">
        <f t="shared" ca="1" si="1"/>
        <v>9267.4475000000002</v>
      </c>
      <c r="O55" s="65">
        <f t="shared" ca="1" si="1"/>
        <v>8061.1639999999998</v>
      </c>
      <c r="P55" s="65">
        <f t="shared" ca="1" si="1"/>
        <v>8375.3225000000002</v>
      </c>
      <c r="Q55" s="65">
        <f t="shared" ca="1" si="1"/>
        <v>7555.7349999999997</v>
      </c>
      <c r="R55" s="165">
        <f t="shared" ca="1" si="1"/>
        <v>13334.018</v>
      </c>
      <c r="S55" s="174">
        <f t="shared" ca="1" si="1"/>
        <v>10262.852692307692</v>
      </c>
    </row>
    <row r="56" spans="1:19" ht="14.5">
      <c r="A56" t="s">
        <v>26</v>
      </c>
      <c r="C56" s="32" t="s">
        <v>22</v>
      </c>
      <c r="F56" s="26" t="s">
        <v>36</v>
      </c>
      <c r="G56" s="66">
        <v>6172</v>
      </c>
      <c r="H56" s="66">
        <v>5044</v>
      </c>
      <c r="I56" s="66">
        <v>5586</v>
      </c>
      <c r="J56" s="66">
        <v>4852</v>
      </c>
      <c r="K56" s="66">
        <v>3956</v>
      </c>
      <c r="L56" s="66">
        <v>4224</v>
      </c>
      <c r="M56" s="66">
        <v>3301</v>
      </c>
      <c r="N56" s="66">
        <v>2493</v>
      </c>
      <c r="O56" s="66">
        <v>2626</v>
      </c>
      <c r="P56" s="66">
        <v>2244</v>
      </c>
      <c r="Q56" s="66">
        <v>2021</v>
      </c>
      <c r="R56" s="166">
        <v>4380</v>
      </c>
      <c r="S56" s="175">
        <v>46899</v>
      </c>
    </row>
    <row r="57" spans="1:19" ht="14.5">
      <c r="A57" t="s">
        <v>27</v>
      </c>
      <c r="C57" s="32" t="s">
        <v>23</v>
      </c>
      <c r="F57" s="26" t="s">
        <v>36</v>
      </c>
      <c r="G57" s="66">
        <v>5574</v>
      </c>
      <c r="H57" s="66">
        <v>4557</v>
      </c>
      <c r="I57" s="66">
        <v>5058</v>
      </c>
      <c r="J57" s="66">
        <v>4414</v>
      </c>
      <c r="K57" s="66">
        <v>3752</v>
      </c>
      <c r="L57" s="66">
        <v>3886</v>
      </c>
      <c r="M57" s="66">
        <v>3057</v>
      </c>
      <c r="N57" s="66">
        <v>2251</v>
      </c>
      <c r="O57" s="66">
        <v>2287</v>
      </c>
      <c r="P57" s="66">
        <v>1994</v>
      </c>
      <c r="Q57" s="66">
        <v>1794</v>
      </c>
      <c r="R57" s="166">
        <v>3920</v>
      </c>
      <c r="S57" s="175">
        <v>42544</v>
      </c>
    </row>
    <row r="58" spans="3:19" ht="14.5">
      <c r="C58" s="33" t="s">
        <v>24</v>
      </c>
      <c r="D58" s="29"/>
      <c r="E58" s="29"/>
      <c r="F58" s="27" t="s">
        <v>36</v>
      </c>
      <c r="G58" s="67">
        <f ca="1">IF(G$33=1,(G56/G$37),0)</f>
        <v>1543</v>
      </c>
      <c r="H58" s="67">
        <f ca="1" t="shared" si="2" ref="H58:S58">IF(H$33=1,(H56/H$37),0)</f>
        <v>1261</v>
      </c>
      <c r="I58" s="67">
        <f t="shared" ca="1" si="2"/>
        <v>1117.2</v>
      </c>
      <c r="J58" s="67">
        <f t="shared" ca="1" si="2"/>
        <v>1213</v>
      </c>
      <c r="K58" s="67">
        <f t="shared" ca="1" si="2"/>
        <v>989</v>
      </c>
      <c r="L58" s="67">
        <f t="shared" ca="1" si="2"/>
        <v>844.79999999999995</v>
      </c>
      <c r="M58" s="67">
        <f t="shared" ca="1" si="2"/>
        <v>825.25</v>
      </c>
      <c r="N58" s="67">
        <f t="shared" ca="1" si="2"/>
        <v>623.25</v>
      </c>
      <c r="O58" s="67">
        <f t="shared" ca="1" si="2"/>
        <v>525.20000000000005</v>
      </c>
      <c r="P58" s="67">
        <f t="shared" ca="1" si="2"/>
        <v>561</v>
      </c>
      <c r="Q58" s="67">
        <f t="shared" ca="1" si="2"/>
        <v>505.25</v>
      </c>
      <c r="R58" s="167">
        <f t="shared" ca="1" si="2"/>
        <v>876</v>
      </c>
      <c r="S58" s="176">
        <f t="shared" ca="1" si="2"/>
        <v>901.90384615384619</v>
      </c>
    </row>
    <row r="59" spans="1:19" ht="14.5">
      <c r="A59" t="s">
        <v>28</v>
      </c>
      <c r="C59" s="34" t="s">
        <v>32</v>
      </c>
      <c r="D59" s="11"/>
      <c r="E59" s="11"/>
      <c r="F59" s="28" t="s">
        <v>37</v>
      </c>
      <c r="G59" s="46">
        <v>0.62277059746034302</v>
      </c>
      <c r="H59" s="46">
        <v>0.51029493455486397</v>
      </c>
      <c r="I59" s="46">
        <v>0.12380169476931401</v>
      </c>
      <c r="J59" s="46">
        <v>0.19126191731022499</v>
      </c>
      <c r="K59" s="46">
        <v>0.495797613508206</v>
      </c>
      <c r="L59" s="46">
        <v>-0.073579271423579798</v>
      </c>
      <c r="M59" s="46">
        <v>-0.0072392197871317997</v>
      </c>
      <c r="N59" s="46">
        <v>-0.13735816477553001</v>
      </c>
      <c r="O59" s="46">
        <v>-0.29503248066735199</v>
      </c>
      <c r="P59" s="46">
        <v>-0.37109219245715203</v>
      </c>
      <c r="Q59" s="46">
        <v>-0.298325454772978</v>
      </c>
      <c r="R59" s="168">
        <v>-0.21773217025466701</v>
      </c>
      <c r="S59" s="177">
        <v>-0.028607999324335699</v>
      </c>
    </row>
    <row r="60" spans="1:19" ht="14.5">
      <c r="A60" t="s">
        <v>29</v>
      </c>
      <c r="C60" s="32" t="s">
        <v>33</v>
      </c>
      <c r="F60" s="26" t="s">
        <v>37</v>
      </c>
      <c r="G60" s="20">
        <v>0.26657090088241298</v>
      </c>
      <c r="H60" s="20">
        <v>0.13757329724853401</v>
      </c>
      <c r="I60" s="20">
        <v>0.14514145141451401</v>
      </c>
      <c r="J60" s="20">
        <v>0.28291909042834501</v>
      </c>
      <c r="K60" s="20">
        <v>0.50189825360668205</v>
      </c>
      <c r="L60" s="20">
        <v>-0.149929563292413</v>
      </c>
      <c r="M60" s="20">
        <v>-0.32797231270358301</v>
      </c>
      <c r="N60" s="20">
        <v>-0.43302251535137598</v>
      </c>
      <c r="O60" s="20">
        <v>-0.54786501377410501</v>
      </c>
      <c r="P60" s="20">
        <v>-0.61933842239185799</v>
      </c>
      <c r="Q60" s="20">
        <v>-0.59829059829059805</v>
      </c>
      <c r="R60" s="169">
        <v>-0.581181870338497</v>
      </c>
      <c r="S60" s="178">
        <v>-0.24442976591322799</v>
      </c>
    </row>
    <row r="61" spans="1:19" ht="14.5">
      <c r="A61" t="s">
        <v>30</v>
      </c>
      <c r="C61" s="32" t="s">
        <v>34</v>
      </c>
      <c r="F61" s="26" t="s">
        <v>37</v>
      </c>
      <c r="G61" s="20">
        <v>0.63247966359881203</v>
      </c>
      <c r="H61" s="20">
        <v>0.54089201008004695</v>
      </c>
      <c r="I61" s="20">
        <v>0.096410194196302701</v>
      </c>
      <c r="J61" s="20">
        <v>0.213391328527127</v>
      </c>
      <c r="K61" s="20">
        <v>0.59322899051213196</v>
      </c>
      <c r="L61" s="20">
        <v>-0.018187082417098901</v>
      </c>
      <c r="M61" s="20">
        <v>0.052498870992020899</v>
      </c>
      <c r="N61" s="20">
        <v>-0.13176962892385399</v>
      </c>
      <c r="O61" s="20">
        <v>-0.32292160449905699</v>
      </c>
      <c r="P61" s="20">
        <v>-0.37970690557582598</v>
      </c>
      <c r="Q61" s="20">
        <v>-0.313420249704701</v>
      </c>
      <c r="R61" s="169">
        <v>-0.25775334693238999</v>
      </c>
      <c r="S61" s="178">
        <v>-0.026758204549328701</v>
      </c>
    </row>
    <row r="62" spans="1:19" ht="14.5">
      <c r="A62" t="s">
        <v>31</v>
      </c>
      <c r="C62" s="33" t="s">
        <v>35</v>
      </c>
      <c r="D62" s="29"/>
      <c r="E62" s="29"/>
      <c r="F62" s="27" t="s">
        <v>37</v>
      </c>
      <c r="G62" s="30">
        <v>0.30845070422535198</v>
      </c>
      <c r="H62" s="30">
        <v>0.186100989068194</v>
      </c>
      <c r="I62" s="30">
        <v>0.13970256872465101</v>
      </c>
      <c r="J62" s="30">
        <v>0.324332433243324</v>
      </c>
      <c r="K62" s="30">
        <v>0.61099184199227097</v>
      </c>
      <c r="L62" s="30">
        <v>-0.095437616387337096</v>
      </c>
      <c r="M62" s="30">
        <v>-0.28708022388059701</v>
      </c>
      <c r="N62" s="30">
        <v>-0.43837325349301398</v>
      </c>
      <c r="O62" s="30">
        <v>-0.56791989419988698</v>
      </c>
      <c r="P62" s="30">
        <v>-0.62206216830932504</v>
      </c>
      <c r="Q62" s="30">
        <v>-0.60406091370558401</v>
      </c>
      <c r="R62" s="170">
        <v>-0.59807238798318496</v>
      </c>
      <c r="S62" s="179">
        <v>-0.23546642226894501</v>
      </c>
    </row>
    <row r="64" spans="3:6" ht="14.5">
      <c r="C64" s="1" t="s">
        <v>46</v>
      </c>
      <c r="D64"/>
      <c r="E64"/>
      <c r="F64"/>
    </row>
    <row r="65" spans="3:20" ht="14.5">
      <c r="C65" s="88" t="s">
        <v>38</v>
      </c>
      <c r="D65" s="89"/>
      <c r="E65" s="89"/>
      <c r="F65" s="89"/>
      <c r="G65" s="90" t="s">
        <v>267</v>
      </c>
      <c r="H65" s="90" t="s">
        <v>244</v>
      </c>
      <c r="I65" s="90" t="s">
        <v>269</v>
      </c>
      <c r="J65" s="90" t="s">
        <v>242</v>
      </c>
      <c r="K65" s="90" t="s">
        <v>264</v>
      </c>
      <c r="L65" s="90" t="s">
        <v>266</v>
      </c>
      <c r="M65" s="90" t="s">
        <v>386</v>
      </c>
      <c r="N65" s="90" t="s">
        <v>387</v>
      </c>
      <c r="O65" s="90" t="s">
        <v>388</v>
      </c>
      <c r="P65" s="90" t="s">
        <v>389</v>
      </c>
      <c r="Q65" s="90" t="s">
        <v>390</v>
      </c>
      <c r="R65" s="90" t="s">
        <v>391</v>
      </c>
      <c r="S65" s="180" t="str">
        <f ca="1">"YTD "&amp;$D$29</f>
        <v>YTD 2025</v>
      </c>
      <c r="T65" s="158"/>
    </row>
    <row r="66" spans="3:20" ht="15">
      <c r="C66" s="92" t="s">
        <v>39</v>
      </c>
      <c r="D66" s="246"/>
      <c r="E66" s="246"/>
      <c r="F66" s="246"/>
      <c r="G66" s="246">
        <v>4</v>
      </c>
      <c r="H66" s="246">
        <v>4</v>
      </c>
      <c r="I66" s="246">
        <v>5</v>
      </c>
      <c r="J66" s="246">
        <v>4</v>
      </c>
      <c r="K66" s="246">
        <v>4</v>
      </c>
      <c r="L66" s="246">
        <v>5</v>
      </c>
      <c r="M66" s="246">
        <v>4</v>
      </c>
      <c r="N66" s="246">
        <v>4</v>
      </c>
      <c r="O66" s="246">
        <v>5</v>
      </c>
      <c r="P66" s="246">
        <v>4</v>
      </c>
      <c r="Q66" s="246">
        <v>4</v>
      </c>
      <c r="R66" s="247">
        <v>5</v>
      </c>
      <c r="S66" s="182">
        <v>52</v>
      </c>
      <c r="T66" s="159"/>
    </row>
    <row r="67" spans="3:19" ht="15" hidden="1">
      <c r="C67"/>
      <c r="D67"/>
      <c r="E67"/>
      <c r="F67"/>
      <c r="G67" s="4" t="str">
        <f ca="1">$D$29&amp;".M01"</f>
        <v>2025.M01</v>
      </c>
      <c r="H67" s="4" t="str">
        <f ca="1">$D$29&amp;".M02"</f>
        <v>2025.M02</v>
      </c>
      <c r="I67" s="4" t="str">
        <f ca="1">$D$29&amp;".M03"</f>
        <v>2025.M03</v>
      </c>
      <c r="J67" s="4" t="str">
        <f ca="1">$D$29&amp;".M04"</f>
        <v>2025.M04</v>
      </c>
      <c r="K67" s="4" t="str">
        <f ca="1">$D$29&amp;".M05"</f>
        <v>2025.M05</v>
      </c>
      <c r="L67" s="4" t="str">
        <f ca="1">$D$29&amp;".M06"</f>
        <v>2025.M06</v>
      </c>
      <c r="M67" s="4" t="str">
        <f ca="1">$D$29&amp;".M07"</f>
        <v>2025.M07</v>
      </c>
      <c r="N67" s="4" t="str">
        <f ca="1">$D$29&amp;".M08"</f>
        <v>2025.M08</v>
      </c>
      <c r="O67" s="4" t="str">
        <f ca="1">$D$29&amp;".M09"</f>
        <v>2025.M09</v>
      </c>
      <c r="P67" s="4" t="str">
        <f ca="1">$D$29&amp;".M10"</f>
        <v>2025.M10</v>
      </c>
      <c r="Q67" s="4" t="str">
        <f ca="1">$D$29&amp;".M11"</f>
        <v>2025.M11</v>
      </c>
      <c r="R67" s="4" t="str">
        <f ca="1">$D$29&amp;".M12"</f>
        <v>2025.M12</v>
      </c>
      <c r="S67" t="str">
        <f ca="1">D28</f>
        <v>YTD 2025.M12</v>
      </c>
    </row>
    <row r="68" spans="3:19" ht="15" hidden="1">
      <c r="C68"/>
      <c r="D68"/>
      <c r="E68"/>
      <c r="F68"/>
      <c r="G68" s="4" t="s">
        <v>8</v>
      </c>
      <c r="H68" s="4" t="s">
        <v>8</v>
      </c>
      <c r="I68" s="4" t="s">
        <v>8</v>
      </c>
      <c r="J68" s="4" t="s">
        <v>8</v>
      </c>
      <c r="K68" s="4" t="s">
        <v>8</v>
      </c>
      <c r="L68" s="4" t="s">
        <v>8</v>
      </c>
      <c r="M68" s="4" t="s">
        <v>8</v>
      </c>
      <c r="N68" s="4" t="s">
        <v>8</v>
      </c>
      <c r="O68" s="4" t="s">
        <v>8</v>
      </c>
      <c r="P68" s="4" t="s">
        <v>8</v>
      </c>
      <c r="Q68" s="4" t="s">
        <v>8</v>
      </c>
      <c r="R68" s="4" t="s">
        <v>8</v>
      </c>
      <c r="S68" s="4" t="s">
        <v>8</v>
      </c>
    </row>
    <row r="69" spans="1:20" ht="15">
      <c r="A69" t="s">
        <v>43</v>
      </c>
      <c r="C69" s="43" t="s">
        <v>175</v>
      </c>
      <c r="D69" s="44" t="s">
        <v>45</v>
      </c>
      <c r="E69" s="44" t="str">
        <f ca="1">UPPER(D69)</f>
        <v>TOTAL STORE SALES</v>
      </c>
      <c r="F69" s="45" t="str">
        <f ca="1">IF(D69="Total Growth on LY","%",IF(D69="Same Store Growth on LY","%","AUD"))</f>
        <v>AUD</v>
      </c>
      <c r="G69" s="49">
        <v>59</v>
      </c>
      <c r="H69" s="49">
        <v>91</v>
      </c>
      <c r="I69" s="49">
        <v>39</v>
      </c>
      <c r="J69" s="49">
        <v>61.919999999999995</v>
      </c>
      <c r="K69" s="49">
        <v>70</v>
      </c>
      <c r="L69" s="49">
        <v>117</v>
      </c>
      <c r="M69" s="49">
        <v>83.879999999999995</v>
      </c>
      <c r="N69" s="49">
        <v>67</v>
      </c>
      <c r="O69" s="49">
        <v>77.980000000000004</v>
      </c>
      <c r="P69" s="49">
        <v>42</v>
      </c>
      <c r="Q69" s="49">
        <v>0</v>
      </c>
      <c r="R69" s="49">
        <v>67</v>
      </c>
      <c r="S69" s="161">
        <v>775.77999999999997</v>
      </c>
      <c r="T69" s="156"/>
    </row>
    <row r="70" spans="1:20" ht="15">
      <c r="A70" t="s">
        <v>11</v>
      </c>
      <c r="C70" s="22" t="s">
        <v>175</v>
      </c>
      <c r="D70" s="13" t="s">
        <v>176</v>
      </c>
      <c r="E70" s="13" t="str">
        <f ca="1">UPPER(D70)</f>
        <v>SAME STORE SALES</v>
      </c>
      <c r="F70" s="23" t="str">
        <f ca="1">IF(D70="Total Growth on LY","%",IF(D70="Same Store Growth on LY","%","AUD"))</f>
        <v>AUD</v>
      </c>
      <c r="G70" s="8">
        <v>59</v>
      </c>
      <c r="H70" s="8">
        <v>91</v>
      </c>
      <c r="I70" s="8">
        <v>39</v>
      </c>
      <c r="J70" s="8">
        <v>61.919999999999995</v>
      </c>
      <c r="K70" s="8">
        <v>70</v>
      </c>
      <c r="L70" s="8">
        <v>117</v>
      </c>
      <c r="M70" s="8">
        <v>83.879999999999995</v>
      </c>
      <c r="N70" s="8">
        <v>67</v>
      </c>
      <c r="O70" s="8">
        <v>77.980000000000004</v>
      </c>
      <c r="P70" s="8">
        <v>42</v>
      </c>
      <c r="Q70" s="8">
        <v>0</v>
      </c>
      <c r="R70" s="8">
        <v>67</v>
      </c>
      <c r="S70" s="160">
        <v>775.77999999999997</v>
      </c>
      <c r="T70" s="156"/>
    </row>
    <row r="71" spans="1:20" ht="15">
      <c r="A71" t="s">
        <v>61</v>
      </c>
      <c r="C71" s="22" t="s">
        <v>175</v>
      </c>
      <c r="D71" s="13" t="s">
        <v>44</v>
      </c>
      <c r="E71" s="13" t="str">
        <f ca="1">UPPER(D71)</f>
        <v>TOTAL GROWTH ON LY</v>
      </c>
      <c r="F71" s="23" t="str">
        <f ca="1">IF(D71="Total Growth on LY","%",IF(D71="Same Store Growth on LY","%","AUD"))</f>
        <v>%</v>
      </c>
      <c r="G71" s="20">
        <v>1.4583333333333333</v>
      </c>
      <c r="H71" s="20">
        <v>4.3529411764705879</v>
      </c>
      <c r="I71" s="20">
        <v>-0.40000000000000002</v>
      </c>
      <c r="J71" s="20">
        <v>-0.073053892215568905</v>
      </c>
      <c r="K71" s="20">
        <v>4.384615384615385</v>
      </c>
      <c r="L71" s="20">
        <v>0.60714285714285721</v>
      </c>
      <c r="M71" s="20">
        <v>0.24082840236686395</v>
      </c>
      <c r="N71" s="20">
        <v>1.5769230769230769</v>
      </c>
      <c r="O71" s="20">
        <v>2.7133333333333334</v>
      </c>
      <c r="P71" s="20">
        <v>-0.46153846153846156</v>
      </c>
      <c r="Q71" s="20">
        <v>0</v>
      </c>
      <c r="R71" s="20">
        <v>5.7000000000000002</v>
      </c>
      <c r="S71" s="163">
        <v>0.68209019947961813</v>
      </c>
      <c r="T71" s="164"/>
    </row>
    <row r="72" spans="1:20" ht="15">
      <c r="A72" t="s">
        <v>47</v>
      </c>
      <c r="C72" s="140" t="s">
        <v>175</v>
      </c>
      <c r="D72" s="141" t="s">
        <v>177</v>
      </c>
      <c r="E72" s="141" t="str">
        <f ca="1">UPPER(D72)</f>
        <v>SAME STORE GROWTH ON LY</v>
      </c>
      <c r="F72" s="142" t="str">
        <f ca="1">IF(D72="Total Growth on LY","%",IF(D72="Same Store Growth on LY","%","AUD"))</f>
        <v>%</v>
      </c>
      <c r="G72" s="30">
        <v>4.9000000000000004</v>
      </c>
      <c r="H72" s="30">
        <v>4.3529411764705879</v>
      </c>
      <c r="I72" s="30">
        <v>-0.40000000000000002</v>
      </c>
      <c r="J72" s="30">
        <v>-0.073053892215568905</v>
      </c>
      <c r="K72" s="30">
        <v>4.384615384615385</v>
      </c>
      <c r="L72" s="30">
        <v>0.60714285714285721</v>
      </c>
      <c r="M72" s="30">
        <v>0.24082840236686395</v>
      </c>
      <c r="N72" s="30">
        <v>1.5769230769230769</v>
      </c>
      <c r="O72" s="30">
        <v>2.7133333333333334</v>
      </c>
      <c r="P72" s="30">
        <v>-0.46153846153846156</v>
      </c>
      <c r="Q72" s="30">
        <v>0</v>
      </c>
      <c r="R72" s="30">
        <v>5.7000000000000002</v>
      </c>
      <c r="S72" s="162">
        <v>0.7347495527728084</v>
      </c>
      <c r="T72" s="164"/>
    </row>
    <row r="73" spans="1:20" ht="15">
      <c r="A73" t="s">
        <v>43</v>
      </c>
      <c r="C73" s="43" t="s">
        <v>178</v>
      </c>
      <c r="D73" s="44" t="s">
        <v>45</v>
      </c>
      <c r="E73" s="44" t="str">
        <f ca="1">UPPER(D73)</f>
        <v>TOTAL STORE SALES</v>
      </c>
      <c r="F73" s="45" t="str">
        <f ca="1">IF(D73="Total Growth on LY","%",IF(D73="Same Store Growth on LY","%","AUD"))</f>
        <v>AUD</v>
      </c>
      <c r="G73" s="49">
        <v>17272.799999999999</v>
      </c>
      <c r="H73" s="49">
        <v>14399.609999999997</v>
      </c>
      <c r="I73" s="49">
        <v>14744.529999999995</v>
      </c>
      <c r="J73" s="49">
        <v>14021.249999999998</v>
      </c>
      <c r="K73" s="49">
        <v>10553.99</v>
      </c>
      <c r="L73" s="49">
        <v>13839.280000000001</v>
      </c>
      <c r="M73" s="49">
        <v>12609.729999999998</v>
      </c>
      <c r="N73" s="49">
        <v>10210.58</v>
      </c>
      <c r="O73" s="49">
        <v>10521.889999999999</v>
      </c>
      <c r="P73" s="49">
        <v>6384.3600000000006</v>
      </c>
      <c r="Q73" s="49">
        <v>6462.6999999999989</v>
      </c>
      <c r="R73" s="49">
        <v>15552.24</v>
      </c>
      <c r="S73" s="161">
        <v>146572.95999999999</v>
      </c>
      <c r="T73" s="156"/>
    </row>
    <row r="74" spans="1:20" ht="15">
      <c r="A74" t="s">
        <v>11</v>
      </c>
      <c r="C74" s="22" t="s">
        <v>178</v>
      </c>
      <c r="D74" s="13" t="s">
        <v>176</v>
      </c>
      <c r="E74" s="13" t="str">
        <f ca="1">UPPER(D74)</f>
        <v>SAME STORE SALES</v>
      </c>
      <c r="F74" s="23" t="str">
        <f ca="1">IF(D74="Total Growth on LY","%",IF(D74="Same Store Growth on LY","%","AUD"))</f>
        <v>AUD</v>
      </c>
      <c r="G74" s="8">
        <v>17272.800000000007</v>
      </c>
      <c r="H74" s="8">
        <v>14399.609999999993</v>
      </c>
      <c r="I74" s="8">
        <v>14744.529999999999</v>
      </c>
      <c r="J74" s="8">
        <v>14021.250000000004</v>
      </c>
      <c r="K74" s="8">
        <v>10553.989999999998</v>
      </c>
      <c r="L74" s="8">
        <v>13839.280000000004</v>
      </c>
      <c r="M74" s="8">
        <v>12609.73</v>
      </c>
      <c r="N74" s="8">
        <v>10210.580000000004</v>
      </c>
      <c r="O74" s="8">
        <v>10521.890000000003</v>
      </c>
      <c r="P74" s="8">
        <v>6384.3600000000006</v>
      </c>
      <c r="Q74" s="8">
        <v>6462.7000000000007</v>
      </c>
      <c r="R74" s="8">
        <v>15552.24</v>
      </c>
      <c r="S74" s="160">
        <v>146572.95999999999</v>
      </c>
      <c r="T74" s="156"/>
    </row>
    <row r="75" spans="1:20" ht="15">
      <c r="A75" t="s">
        <v>61</v>
      </c>
      <c r="C75" s="22" t="s">
        <v>178</v>
      </c>
      <c r="D75" s="13" t="s">
        <v>44</v>
      </c>
      <c r="E75" s="13" t="str">
        <f ca="1">UPPER(D75)</f>
        <v>TOTAL GROWTH ON LY</v>
      </c>
      <c r="F75" s="23" t="str">
        <f ca="1">IF(D75="Total Growth on LY","%",IF(D75="Same Store Growth on LY","%","AUD"))</f>
        <v>%</v>
      </c>
      <c r="G75" s="20">
        <v>0.23429159431474669</v>
      </c>
      <c r="H75" s="20">
        <v>0.3042427986185518</v>
      </c>
      <c r="I75" s="20">
        <v>-0.15797411651565532</v>
      </c>
      <c r="J75" s="20">
        <v>-0.034458229235816429</v>
      </c>
      <c r="K75" s="20">
        <v>0.13553971541544502</v>
      </c>
      <c r="L75" s="20">
        <v>-0.15357897537361592</v>
      </c>
      <c r="M75" s="20">
        <v>-0.22081259678258552</v>
      </c>
      <c r="N75" s="20">
        <v>-0.34073569974896445</v>
      </c>
      <c r="O75" s="20">
        <v>-0.46330442056725474</v>
      </c>
      <c r="P75" s="20">
        <v>-0.63465960137567168</v>
      </c>
      <c r="Q75" s="20">
        <v>-0.47750321775294141</v>
      </c>
      <c r="R75" s="20">
        <v>-0.36650056843802348</v>
      </c>
      <c r="S75" s="163">
        <v>-0.22193503296689773</v>
      </c>
      <c r="T75" s="164"/>
    </row>
    <row r="76" spans="1:20" ht="15">
      <c r="A76" t="s">
        <v>47</v>
      </c>
      <c r="C76" s="140" t="s">
        <v>178</v>
      </c>
      <c r="D76" s="141" t="s">
        <v>177</v>
      </c>
      <c r="E76" s="141" t="str">
        <f ca="1">UPPER(D76)</f>
        <v>SAME STORE GROWTH ON LY</v>
      </c>
      <c r="F76" s="142" t="str">
        <f ca="1">IF(D76="Total Growth on LY","%",IF(D76="Same Store Growth on LY","%","AUD"))</f>
        <v>%</v>
      </c>
      <c r="G76" s="30">
        <v>0.62562939399358108</v>
      </c>
      <c r="H76" s="30">
        <v>0.7951514637737348</v>
      </c>
      <c r="I76" s="30">
        <v>0.037194582358477828</v>
      </c>
      <c r="J76" s="30">
        <v>0.25906499859916832</v>
      </c>
      <c r="K76" s="30">
        <v>0.58476646670620835</v>
      </c>
      <c r="L76" s="30">
        <v>0.26039079611845001</v>
      </c>
      <c r="M76" s="30">
        <v>0.1347461119940096</v>
      </c>
      <c r="N76" s="30">
        <v>-0.17026549995774365</v>
      </c>
      <c r="O76" s="30">
        <v>-0.30675104512226864</v>
      </c>
      <c r="P76" s="30">
        <v>-0.51502325235144242</v>
      </c>
      <c r="Q76" s="30">
        <v>-0.38380934673893879</v>
      </c>
      <c r="R76" s="30">
        <v>-0.26995208195637804</v>
      </c>
      <c r="S76" s="162">
        <v>0.0095263559438013307</v>
      </c>
      <c r="T76" s="164"/>
    </row>
    <row r="77" spans="1:20" ht="15">
      <c r="A77" t="s">
        <v>43</v>
      </c>
      <c r="C77" s="43" t="s">
        <v>179</v>
      </c>
      <c r="D77" s="44" t="s">
        <v>45</v>
      </c>
      <c r="E77" s="44" t="str">
        <f ca="1">UPPER(D77)</f>
        <v>TOTAL STORE SALES</v>
      </c>
      <c r="F77" s="45" t="str">
        <f ca="1">IF(D77="Total Growth on LY","%",IF(D77="Same Store Growth on LY","%","AUD"))</f>
        <v>AUD</v>
      </c>
      <c r="G77" s="49">
        <v>29761.579999999998</v>
      </c>
      <c r="H77" s="49">
        <v>24532.759999999995</v>
      </c>
      <c r="I77" s="49">
        <v>27571.459999999995</v>
      </c>
      <c r="J77" s="49">
        <v>24013.929999999997</v>
      </c>
      <c r="K77" s="49">
        <v>19009.590000000004</v>
      </c>
      <c r="L77" s="49">
        <v>24582.279999999999</v>
      </c>
      <c r="M77" s="49">
        <v>22441.350000000002</v>
      </c>
      <c r="N77" s="49">
        <v>17962.700000000001</v>
      </c>
      <c r="O77" s="49">
        <v>21366.549999999999</v>
      </c>
      <c r="P77" s="49">
        <v>17165.580000000002</v>
      </c>
      <c r="Q77" s="49">
        <v>15232.479999999998</v>
      </c>
      <c r="R77" s="49">
        <v>37117.130000000012</v>
      </c>
      <c r="S77" s="161">
        <v>280757.38999999996</v>
      </c>
      <c r="T77" s="156"/>
    </row>
    <row r="78" spans="1:20" ht="15">
      <c r="A78" t="s">
        <v>11</v>
      </c>
      <c r="C78" s="22" t="s">
        <v>179</v>
      </c>
      <c r="D78" s="13" t="s">
        <v>176</v>
      </c>
      <c r="E78" s="13" t="str">
        <f ca="1">UPPER(D78)</f>
        <v>SAME STORE SALES</v>
      </c>
      <c r="F78" s="23" t="str">
        <f ca="1">IF(D78="Total Growth on LY","%",IF(D78="Same Store Growth on LY","%","AUD"))</f>
        <v>AUD</v>
      </c>
      <c r="G78" s="8">
        <v>23773.569999999992</v>
      </c>
      <c r="H78" s="8">
        <v>19729.189999999991</v>
      </c>
      <c r="I78" s="8">
        <v>22179.03000000001</v>
      </c>
      <c r="J78" s="8">
        <v>19656.93</v>
      </c>
      <c r="K78" s="8">
        <v>16878.189999999991</v>
      </c>
      <c r="L78" s="8">
        <v>20784.679999999993</v>
      </c>
      <c r="M78" s="8">
        <v>18526.039999999997</v>
      </c>
      <c r="N78" s="8">
        <v>14608.900000000012</v>
      </c>
      <c r="O78" s="8">
        <v>16297.860000000006</v>
      </c>
      <c r="P78" s="8">
        <v>13197.660000000003</v>
      </c>
      <c r="Q78" s="8">
        <v>11666.040000000001</v>
      </c>
      <c r="R78" s="8">
        <v>29325.110000000011</v>
      </c>
      <c r="S78" s="160">
        <v>226623.20000000004</v>
      </c>
      <c r="T78" s="156"/>
    </row>
    <row r="79" spans="1:20" ht="15">
      <c r="A79" t="s">
        <v>61</v>
      </c>
      <c r="C79" s="22" t="s">
        <v>179</v>
      </c>
      <c r="D79" s="13" t="s">
        <v>44</v>
      </c>
      <c r="E79" s="13" t="str">
        <f ca="1">UPPER(D79)</f>
        <v>TOTAL GROWTH ON LY</v>
      </c>
      <c r="F79" s="23" t="str">
        <f ca="1">IF(D79="Total Growth on LY","%",IF(D79="Same Store Growth on LY","%","AUD"))</f>
        <v>%</v>
      </c>
      <c r="G79" s="20">
        <v>0.97703282789700296</v>
      </c>
      <c r="H79" s="20">
        <v>0.71432844039518018</v>
      </c>
      <c r="I79" s="20">
        <v>0.37453735831598423</v>
      </c>
      <c r="J79" s="20">
        <v>0.42925852013520077</v>
      </c>
      <c r="K79" s="20">
        <v>0.69861793318148813</v>
      </c>
      <c r="L79" s="20">
        <v>0.083081570331428267</v>
      </c>
      <c r="M79" s="20">
        <v>0.0096232361336996124</v>
      </c>
      <c r="N79" s="20">
        <v>-0.10126419511443384</v>
      </c>
      <c r="O79" s="20">
        <v>-0.27453664028727165</v>
      </c>
      <c r="P79" s="20">
        <v>-0.36882478520912093</v>
      </c>
      <c r="Q79" s="20">
        <v>-0.30968517614664021</v>
      </c>
      <c r="R79" s="20">
        <v>-0.25701501518212616</v>
      </c>
      <c r="S79" s="163">
        <v>0.036014189496785969</v>
      </c>
      <c r="T79" s="164"/>
    </row>
    <row r="80" spans="1:20" ht="15">
      <c r="A80" t="s">
        <v>47</v>
      </c>
      <c r="C80" s="140" t="s">
        <v>179</v>
      </c>
      <c r="D80" s="141" t="s">
        <v>177</v>
      </c>
      <c r="E80" s="141" t="str">
        <f ca="1">UPPER(D80)</f>
        <v>SAME STORE GROWTH ON LY</v>
      </c>
      <c r="F80" s="142" t="str">
        <f ca="1">IF(D80="Total Growth on LY","%",IF(D80="Same Store Growth on LY","%","AUD"))</f>
        <v>%</v>
      </c>
      <c r="G80" s="30">
        <v>0.63230013333827717</v>
      </c>
      <c r="H80" s="30">
        <v>0.45041977886255363</v>
      </c>
      <c r="I80" s="30">
        <v>0.13483597372468589</v>
      </c>
      <c r="J80" s="30">
        <v>0.23429218362555534</v>
      </c>
      <c r="K80" s="30">
        <v>0.54318971657305615</v>
      </c>
      <c r="L80" s="30">
        <v>-0.032145735904197559</v>
      </c>
      <c r="M80" s="30">
        <v>-0.11188899355466558</v>
      </c>
      <c r="N80" s="30">
        <v>-0.23229158510354855</v>
      </c>
      <c r="O80" s="30">
        <v>-0.43340328071287876</v>
      </c>
      <c r="P80" s="30">
        <v>-0.4997403495312267</v>
      </c>
      <c r="Q80" s="30">
        <v>-0.42554433008879766</v>
      </c>
      <c r="R80" s="30">
        <v>-0.39261102956238531</v>
      </c>
      <c r="S80" s="162">
        <v>-0.12727317538954341</v>
      </c>
      <c r="T80" s="164"/>
    </row>
    <row r="81" spans="1:20" ht="15">
      <c r="A81" t="s">
        <v>43</v>
      </c>
      <c r="C81" s="43" t="s">
        <v>180</v>
      </c>
      <c r="D81" s="44" t="s">
        <v>45</v>
      </c>
      <c r="E81" s="44" t="str">
        <f ca="1">UPPER(D81)</f>
        <v>TOTAL STORE SALES</v>
      </c>
      <c r="F81" s="45" t="str">
        <f ca="1">IF(D81="Total Growth on LY","%",IF(D81="Same Store Growth on LY","%","AUD"))</f>
        <v>AUD</v>
      </c>
      <c r="G81" s="49">
        <v>983</v>
      </c>
      <c r="H81" s="49">
        <v>798.70000000000005</v>
      </c>
      <c r="I81" s="49">
        <v>998.39999999999998</v>
      </c>
      <c r="J81" s="49">
        <v>652.29999999999995</v>
      </c>
      <c r="K81" s="49">
        <v>637.5</v>
      </c>
      <c r="L81" s="49">
        <v>720.39999999999998</v>
      </c>
      <c r="M81" s="49">
        <v>557.79999999999995</v>
      </c>
      <c r="N81" s="49">
        <v>403.80000000000001</v>
      </c>
      <c r="O81" s="49">
        <v>262.19999999999999</v>
      </c>
      <c r="P81" s="49">
        <v>64</v>
      </c>
      <c r="Q81" s="49">
        <v>52</v>
      </c>
      <c r="R81" s="49">
        <v>99</v>
      </c>
      <c r="S81" s="161">
        <v>6229.1000000000004</v>
      </c>
      <c r="T81" s="156"/>
    </row>
    <row r="82" spans="1:20" ht="15">
      <c r="A82" t="s">
        <v>11</v>
      </c>
      <c r="C82" s="22" t="s">
        <v>180</v>
      </c>
      <c r="D82" s="13" t="s">
        <v>176</v>
      </c>
      <c r="E82" s="13" t="str">
        <f ca="1">UPPER(D82)</f>
        <v>SAME STORE SALES</v>
      </c>
      <c r="F82" s="23" t="str">
        <f ca="1">IF(D82="Total Growth on LY","%",IF(D82="Same Store Growth on LY","%","AUD"))</f>
        <v>AUD</v>
      </c>
      <c r="G82" s="8">
        <v>983</v>
      </c>
      <c r="H82" s="8">
        <v>798.70000000000005</v>
      </c>
      <c r="I82" s="8">
        <v>998.39999999999998</v>
      </c>
      <c r="J82" s="8">
        <v>652.29999999999995</v>
      </c>
      <c r="K82" s="8">
        <v>637.5</v>
      </c>
      <c r="L82" s="8">
        <v>720.40000000000009</v>
      </c>
      <c r="M82" s="8">
        <v>557.79999999999995</v>
      </c>
      <c r="N82" s="8">
        <v>403.80000000000001</v>
      </c>
      <c r="O82" s="8">
        <v>262.19999999999999</v>
      </c>
      <c r="P82" s="8">
        <v>64</v>
      </c>
      <c r="Q82" s="8">
        <v>52</v>
      </c>
      <c r="R82" s="8">
        <v>99</v>
      </c>
      <c r="S82" s="160">
        <v>6229.0999999999995</v>
      </c>
      <c r="T82" s="156"/>
    </row>
    <row r="83" spans="1:20" ht="15">
      <c r="A83" t="s">
        <v>61</v>
      </c>
      <c r="C83" s="22" t="s">
        <v>180</v>
      </c>
      <c r="D83" s="13" t="s">
        <v>44</v>
      </c>
      <c r="E83" s="13" t="str">
        <f ca="1">UPPER(D83)</f>
        <v>TOTAL GROWTH ON LY</v>
      </c>
      <c r="F83" s="23" t="str">
        <f ca="1">IF(D83="Total Growth on LY","%",IF(D83="Same Store Growth on LY","%","AUD"))</f>
        <v>%</v>
      </c>
      <c r="G83" s="20">
        <v>0.5543959519291588</v>
      </c>
      <c r="H83" s="20">
        <v>0.086371055495103363</v>
      </c>
      <c r="I83" s="20">
        <v>0.98647035415837636</v>
      </c>
      <c r="J83" s="20">
        <v>0.1953454278907823</v>
      </c>
      <c r="K83" s="20">
        <v>0.41729657625611377</v>
      </c>
      <c r="L83" s="20">
        <v>-0.41677461139896366</v>
      </c>
      <c r="M83" s="20">
        <v>-0.27275097783572366</v>
      </c>
      <c r="N83" s="20">
        <v>-0.47990726429675423</v>
      </c>
      <c r="O83" s="20">
        <v>-0.72253968253968259</v>
      </c>
      <c r="P83" s="20">
        <v>-0.91945633022904605</v>
      </c>
      <c r="Q83" s="20">
        <v>-0.94725096368431727</v>
      </c>
      <c r="R83" s="20">
        <v>-0.94502138057422114</v>
      </c>
      <c r="S83" s="163">
        <v>-0.38752654762841182</v>
      </c>
      <c r="T83" s="164"/>
    </row>
    <row r="84" spans="1:20" ht="15">
      <c r="A84" t="s">
        <v>47</v>
      </c>
      <c r="C84" s="140" t="s">
        <v>180</v>
      </c>
      <c r="D84" s="141" t="s">
        <v>177</v>
      </c>
      <c r="E84" s="141" t="str">
        <f ca="1">UPPER(D84)</f>
        <v>SAME STORE GROWTH ON LY</v>
      </c>
      <c r="F84" s="142" t="str">
        <f ca="1">IF(D84="Total Growth on LY","%",IF(D84="Same Store Growth on LY","%","AUD"))</f>
        <v>%</v>
      </c>
      <c r="G84" s="30">
        <v>0.5543959519291588</v>
      </c>
      <c r="H84" s="30">
        <v>0.086371055495103363</v>
      </c>
      <c r="I84" s="30">
        <v>0.98647035415837636</v>
      </c>
      <c r="J84" s="30">
        <v>0.1953454278907823</v>
      </c>
      <c r="K84" s="30">
        <v>0.41729657625611377</v>
      </c>
      <c r="L84" s="30">
        <v>-0.41677461139896355</v>
      </c>
      <c r="M84" s="30">
        <v>-0.27275097783572366</v>
      </c>
      <c r="N84" s="30">
        <v>-0.47990726429675423</v>
      </c>
      <c r="O84" s="30">
        <v>-0.71776103336921426</v>
      </c>
      <c r="P84" s="30">
        <v>-0.75665399239543729</v>
      </c>
      <c r="Q84" s="30">
        <v>-0.86206896551724133</v>
      </c>
      <c r="R84" s="30">
        <v>-0.87941534713763703</v>
      </c>
      <c r="S84" s="162">
        <v>-0.22468665596256052</v>
      </c>
      <c r="T84" s="164"/>
    </row>
    <row r="85" spans="1:20" ht="15">
      <c r="A85" t="s">
        <v>43</v>
      </c>
      <c r="C85" s="43" t="s">
        <v>181</v>
      </c>
      <c r="D85" s="44" t="s">
        <v>45</v>
      </c>
      <c r="E85" s="44" t="str">
        <f ca="1">UPPER(D85)</f>
        <v>TOTAL STORE SALES</v>
      </c>
      <c r="F85" s="45" t="str">
        <f ca="1">IF(D85="Total Growth on LY","%",IF(D85="Same Store Growth on LY","%","AUD"))</f>
        <v>AUD</v>
      </c>
      <c r="G85" s="49">
        <v>7573</v>
      </c>
      <c r="H85" s="49">
        <v>6560.9300000000003</v>
      </c>
      <c r="I85" s="49">
        <v>6503.7799999999997</v>
      </c>
      <c r="J85" s="49">
        <v>5055.8500000000004</v>
      </c>
      <c r="K85" s="49">
        <v>7661.4500000000007</v>
      </c>
      <c r="L85" s="49">
        <v>5468.2900000000009</v>
      </c>
      <c r="M85" s="49">
        <v>11851.07</v>
      </c>
      <c r="N85" s="49">
        <v>8425.7099999999991</v>
      </c>
      <c r="O85" s="49">
        <v>8077.1999999999998</v>
      </c>
      <c r="P85" s="49">
        <v>9845.3500000000004</v>
      </c>
      <c r="Q85" s="49">
        <v>8475.7599999999984</v>
      </c>
      <c r="R85" s="49">
        <v>13834.719999999999</v>
      </c>
      <c r="S85" s="161">
        <v>99333.109999999971</v>
      </c>
      <c r="T85" s="156"/>
    </row>
    <row r="86" spans="1:20" ht="15">
      <c r="A86" t="s">
        <v>11</v>
      </c>
      <c r="C86" s="22" t="s">
        <v>181</v>
      </c>
      <c r="D86" s="13" t="s">
        <v>176</v>
      </c>
      <c r="E86" s="13" t="str">
        <f ca="1">UPPER(D86)</f>
        <v>SAME STORE SALES</v>
      </c>
      <c r="F86" s="23" t="str">
        <f ca="1">IF(D86="Total Growth on LY","%",IF(D86="Same Store Growth on LY","%","AUD"))</f>
        <v>AUD</v>
      </c>
      <c r="G86" s="8">
        <v>7573.0000000000018</v>
      </c>
      <c r="H86" s="8">
        <v>6560.9300000000003</v>
      </c>
      <c r="I86" s="8">
        <v>6503.7799999999997</v>
      </c>
      <c r="J86" s="8">
        <v>5055.8500000000004</v>
      </c>
      <c r="K86" s="8">
        <v>7661.4500000000016</v>
      </c>
      <c r="L86" s="8">
        <v>5468.2900000000009</v>
      </c>
      <c r="M86" s="8">
        <v>11851.07</v>
      </c>
      <c r="N86" s="8">
        <v>8425.7099999999991</v>
      </c>
      <c r="O86" s="8">
        <v>8077.2000000000016</v>
      </c>
      <c r="P86" s="8">
        <v>9845.3499999999985</v>
      </c>
      <c r="Q86" s="8">
        <v>8475.7599999999984</v>
      </c>
      <c r="R86" s="8">
        <v>13834.719999999998</v>
      </c>
      <c r="S86" s="160">
        <v>99333.110000000001</v>
      </c>
      <c r="T86" s="156"/>
    </row>
    <row r="87" spans="1:20" ht="15">
      <c r="A87" t="s">
        <v>61</v>
      </c>
      <c r="C87" s="22" t="s">
        <v>181</v>
      </c>
      <c r="D87" s="13" t="s">
        <v>44</v>
      </c>
      <c r="E87" s="13" t="str">
        <f ca="1">UPPER(D87)</f>
        <v>TOTAL GROWTH ON LY</v>
      </c>
      <c r="F87" s="23" t="str">
        <f ca="1">IF(D87="Total Growth on LY","%",IF(D87="Same Store Growth on LY","%","AUD"))</f>
        <v>%</v>
      </c>
      <c r="G87" s="20">
        <v>0.65037287574150193</v>
      </c>
      <c r="H87" s="20">
        <v>0.4238098441626646</v>
      </c>
      <c r="I87" s="20">
        <v>0.0443410344849735</v>
      </c>
      <c r="J87" s="20">
        <v>0.045389789365076504</v>
      </c>
      <c r="K87" s="20">
        <v>0.73684127005717348</v>
      </c>
      <c r="L87" s="20">
        <v>-0.30996621941355279</v>
      </c>
      <c r="M87" s="20">
        <v>0.37081231514500973</v>
      </c>
      <c r="N87" s="20">
        <v>0.25840822160456278</v>
      </c>
      <c r="O87" s="20">
        <v>0.12955509748586869</v>
      </c>
      <c r="P87" s="20">
        <v>0.2744657660503193</v>
      </c>
      <c r="Q87" s="20">
        <v>0.10766448159416177</v>
      </c>
      <c r="R87" s="20">
        <v>0.55280891814112609</v>
      </c>
      <c r="S87" s="163">
        <v>0.25144816605528231</v>
      </c>
      <c r="T87" s="164"/>
    </row>
    <row r="88" spans="1:20" ht="15">
      <c r="A88" t="s">
        <v>47</v>
      </c>
      <c r="C88" s="140" t="s">
        <v>181</v>
      </c>
      <c r="D88" s="141" t="s">
        <v>177</v>
      </c>
      <c r="E88" s="141" t="str">
        <f ca="1">UPPER(D88)</f>
        <v>SAME STORE GROWTH ON LY</v>
      </c>
      <c r="F88" s="142" t="str">
        <f ca="1">IF(D88="Total Growth on LY","%",IF(D88="Same Store Growth on LY","%","AUD"))</f>
        <v>%</v>
      </c>
      <c r="G88" s="30">
        <v>0.65037287574150193</v>
      </c>
      <c r="H88" s="30">
        <v>0.4238098441626646</v>
      </c>
      <c r="I88" s="30">
        <v>0.0443410344849735</v>
      </c>
      <c r="J88" s="30">
        <v>0.045389789365076504</v>
      </c>
      <c r="K88" s="30">
        <v>0.73684127005717348</v>
      </c>
      <c r="L88" s="30">
        <v>-0.30996621941355279</v>
      </c>
      <c r="M88" s="30">
        <v>0.37081231514500973</v>
      </c>
      <c r="N88" s="30">
        <v>0.25840822160456278</v>
      </c>
      <c r="O88" s="30">
        <v>0.12955509748586869</v>
      </c>
      <c r="P88" s="30">
        <v>0.2744657660503193</v>
      </c>
      <c r="Q88" s="30">
        <v>0.10766448159416177</v>
      </c>
      <c r="R88" s="30">
        <v>0.55280891814112609</v>
      </c>
      <c r="S88" s="162">
        <v>0.25144816605528247</v>
      </c>
      <c r="T88" s="164"/>
    </row>
    <row r="89" spans="3:18" ht="15">
      <c r="C89" s="11"/>
      <c r="D89" s="11"/>
      <c r="E89" s="11"/>
      <c r="F89" s="11"/>
      <c r="G89" s="12"/>
      <c r="H89" s="12"/>
      <c r="I89" s="12"/>
      <c r="J89" s="12"/>
      <c r="K89" s="12"/>
      <c r="L89" s="12"/>
      <c r="M89" s="12"/>
      <c r="N89" s="12"/>
      <c r="O89" s="12"/>
      <c r="P89" s="12"/>
      <c r="Q89" s="12"/>
      <c r="R89" s="12"/>
    </row>
    <row r="90" spans="3:3" ht="15">
      <c r="C90" s="137" t="s">
        <v>103</v>
      </c>
    </row>
    <row r="91" spans="3:3" ht="15">
      <c r="C91" s="138" t="s">
        <v>96</v>
      </c>
    </row>
    <row r="92" spans="3:3" ht="15">
      <c r="C92" s="138" t="s">
        <v>114</v>
      </c>
    </row>
    <row r="93" spans="3:3" ht="15">
      <c r="C93" s="138" t="s">
        <v>104</v>
      </c>
    </row>
    <row r="94" spans="3:3" ht="15">
      <c r="C94" s="138" t="s">
        <v>105</v>
      </c>
    </row>
  </sheetData>
  <mergeCells count="3">
    <mergeCell ref="S37:T37"/>
    <mergeCell ref="S35:T35"/>
    <mergeCell ref="S36:T36"/>
  </mergeCells>
  <pageMargins left="0" right="0" top="0" bottom="0" header="0" footer="0"/>
  <pageSetup orientation="landscape" paperSize="9" scale="53" r:id="rId1"/>
  <customProperties>
    <customPr name="CUSTOMPROP:RWBOOKMARKNAME" r:id="rId2"/>
  </customPropertie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G43"/>
  <sheetViews>
    <sheetView showGridLines="0" workbookViewId="0" topLeftCell="B21"/>
  </sheetViews>
  <sheetFormatPr defaultRowHeight="14.5"/>
  <cols>
    <col min="1" max="1" width="2.72727272727273" hidden="1" customWidth="1"/>
    <col min="2" max="2" width="1.18181818181818" customWidth="1"/>
    <col min="3" max="3" width="28.7272727272727" customWidth="1"/>
    <col min="4" max="4" width="10.7272727272727" customWidth="1"/>
    <col min="5" max="5" width="7.72727272727273" customWidth="1"/>
    <col min="6" max="6" width="10.7272727272727" customWidth="1"/>
    <col min="7" max="7" width="7.72727272727273" customWidth="1"/>
    <col min="8" max="8" width="10.7272727272727" customWidth="1"/>
    <col min="9" max="9" width="7.72727272727273" customWidth="1"/>
    <col min="10" max="10" width="10.7272727272727" customWidth="1"/>
    <col min="11" max="11" width="7.72727272727273" customWidth="1"/>
    <col min="12" max="12" width="10.7272727272727" customWidth="1"/>
    <col min="13" max="13" width="7.72727272727273" customWidth="1"/>
    <col min="14" max="14" width="10.7272727272727" customWidth="1"/>
    <col min="15" max="15" width="7.72727272727273" customWidth="1"/>
    <col min="16" max="16" width="10.7272727272727" customWidth="1"/>
    <col min="17" max="17" width="7.72727272727273" customWidth="1"/>
    <col min="18" max="18" width="10.7272727272727" customWidth="1"/>
    <col min="19" max="19" width="7.72727272727273" customWidth="1"/>
    <col min="20" max="20" width="10.7272727272727" customWidth="1"/>
    <col min="21" max="21" width="7.72727272727273" customWidth="1"/>
    <col min="22" max="22" width="10.7272727272727" customWidth="1"/>
    <col min="23" max="23" width="7.72727272727273" customWidth="1"/>
    <col min="24" max="24" width="10.7272727272727" customWidth="1"/>
    <col min="25" max="25" width="7.72727272727273" customWidth="1"/>
    <col min="26" max="26" width="10.7272727272727" customWidth="1"/>
    <col min="27" max="27" width="7.72727272727273" customWidth="1"/>
    <col min="28" max="28" width="10.7272727272727" customWidth="1"/>
    <col min="29" max="29" width="7.72727272727273" customWidth="1"/>
    <col min="30" max="32" width="10.7272727272727" customWidth="1"/>
    <col min="33" max="33" width="15.2727272727273" customWidth="1"/>
  </cols>
  <sheetData>
    <row r="1" spans="1:1" ht="14.5" hidden="1">
      <c r="A1" t="s">
        <v>12</v>
      </c>
    </row>
    <row r="2" spans="1:33" ht="14.5" hidden="1">
      <c r="A2">
        <f>0</f>
        <v>0</v>
      </c>
      <c r="C2" s="57"/>
      <c r="D2" s="55"/>
      <c r="E2" s="56"/>
      <c r="F2" s="55"/>
      <c r="G2" s="56"/>
      <c r="H2" s="55"/>
      <c r="I2" s="56"/>
      <c r="J2" s="55"/>
      <c r="K2" s="56"/>
      <c r="L2" s="55"/>
      <c r="M2" s="56"/>
      <c r="N2" s="55"/>
      <c r="O2" s="56"/>
      <c r="P2" s="55"/>
      <c r="Q2" s="56"/>
      <c r="R2" s="55"/>
      <c r="S2" s="56"/>
      <c r="T2" s="55"/>
      <c r="U2" s="56"/>
      <c r="V2" s="55"/>
      <c r="W2" s="56"/>
      <c r="X2" s="55"/>
      <c r="Y2" s="56"/>
      <c r="Z2" s="55"/>
      <c r="AA2" s="56"/>
      <c r="AB2" s="55"/>
      <c r="AC2" s="56"/>
      <c r="AD2" s="55"/>
      <c r="AE2" s="56"/>
      <c r="AF2" s="56"/>
      <c r="AG2" s="60"/>
    </row>
    <row r="3" spans="1:33" ht="14.5" hidden="1">
      <c r="A3">
        <f>1</f>
        <v>1</v>
      </c>
      <c r="C3" s="58"/>
      <c r="D3" s="53"/>
      <c r="E3" s="54"/>
      <c r="F3" s="53"/>
      <c r="G3" s="54"/>
      <c r="H3" s="53"/>
      <c r="I3" s="54"/>
      <c r="J3" s="53"/>
      <c r="K3" s="54"/>
      <c r="L3" s="53"/>
      <c r="M3" s="54"/>
      <c r="N3" s="53"/>
      <c r="O3" s="54"/>
      <c r="P3" s="53"/>
      <c r="Q3" s="54"/>
      <c r="R3" s="53"/>
      <c r="S3" s="54"/>
      <c r="T3" s="53"/>
      <c r="U3" s="54"/>
      <c r="V3" s="53"/>
      <c r="W3" s="54"/>
      <c r="X3" s="53"/>
      <c r="Y3" s="54"/>
      <c r="Z3" s="53"/>
      <c r="AA3" s="54"/>
      <c r="AB3" s="53"/>
      <c r="AC3" s="54"/>
      <c r="AD3" s="53"/>
      <c r="AE3" s="54"/>
      <c r="AF3" s="219"/>
      <c r="AG3" s="219"/>
    </row>
    <row r="4" spans="1:33" ht="14.5" hidden="1">
      <c r="A4">
        <f>2</f>
        <v>2</v>
      </c>
      <c r="C4" s="59"/>
      <c r="D4" s="51"/>
      <c r="E4" s="50"/>
      <c r="F4" s="51"/>
      <c r="G4" s="50"/>
      <c r="H4" s="51"/>
      <c r="I4" s="50"/>
      <c r="J4" s="51"/>
      <c r="K4" s="50"/>
      <c r="L4" s="51"/>
      <c r="M4" s="50"/>
      <c r="N4" s="51"/>
      <c r="O4" s="50"/>
      <c r="P4" s="51"/>
      <c r="Q4" s="50"/>
      <c r="R4" s="51"/>
      <c r="S4" s="50"/>
      <c r="T4" s="51"/>
      <c r="U4" s="50"/>
      <c r="V4" s="51"/>
      <c r="W4" s="50"/>
      <c r="X4" s="51"/>
      <c r="Y4" s="50"/>
      <c r="Z4" s="51"/>
      <c r="AA4" s="50"/>
      <c r="AB4" s="51"/>
      <c r="AC4" s="50"/>
      <c r="AD4" s="51"/>
      <c r="AE4" s="50"/>
      <c r="AF4" s="220"/>
      <c r="AG4" s="61"/>
    </row>
    <row r="5" spans="1:33" ht="14.5" hidden="1">
      <c r="A5">
        <f>3</f>
        <v>3</v>
      </c>
      <c r="C5" s="59"/>
      <c r="D5" s="51"/>
      <c r="E5" s="50"/>
      <c r="F5" s="51"/>
      <c r="G5" s="50"/>
      <c r="H5" s="51"/>
      <c r="I5" s="50"/>
      <c r="J5" s="51"/>
      <c r="K5" s="50"/>
      <c r="L5" s="51"/>
      <c r="M5" s="50"/>
      <c r="N5" s="51"/>
      <c r="O5" s="50"/>
      <c r="P5" s="51"/>
      <c r="Q5" s="50"/>
      <c r="R5" s="51"/>
      <c r="S5" s="50"/>
      <c r="T5" s="51"/>
      <c r="U5" s="50"/>
      <c r="V5" s="51"/>
      <c r="W5" s="50"/>
      <c r="X5" s="51"/>
      <c r="Y5" s="50"/>
      <c r="Z5" s="51"/>
      <c r="AA5" s="50"/>
      <c r="AB5" s="51"/>
      <c r="AC5" s="50"/>
      <c r="AD5" s="51"/>
      <c r="AE5" s="50"/>
      <c r="AF5" s="50"/>
      <c r="AG5" s="61"/>
    </row>
    <row r="6" spans="1:33" ht="14.5" hidden="1">
      <c r="A6" t="s">
        <v>10</v>
      </c>
      <c r="C6" s="59"/>
      <c r="D6" s="51"/>
      <c r="E6" s="50"/>
      <c r="F6" s="51"/>
      <c r="G6" s="50"/>
      <c r="H6" s="51"/>
      <c r="I6" s="50"/>
      <c r="J6" s="51"/>
      <c r="K6" s="50"/>
      <c r="L6" s="51"/>
      <c r="M6" s="50"/>
      <c r="N6" s="51"/>
      <c r="O6" s="50"/>
      <c r="P6" s="51"/>
      <c r="Q6" s="50"/>
      <c r="R6" s="51"/>
      <c r="S6" s="50"/>
      <c r="T6" s="51"/>
      <c r="U6" s="50"/>
      <c r="V6" s="51"/>
      <c r="W6" s="50"/>
      <c r="X6" s="51"/>
      <c r="Y6" s="50"/>
      <c r="Z6" s="51"/>
      <c r="AA6" s="50"/>
      <c r="AB6" s="51"/>
      <c r="AC6" s="50"/>
      <c r="AD6" s="51"/>
      <c r="AE6" s="50"/>
      <c r="AF6" s="50"/>
      <c r="AG6" s="61"/>
    </row>
    <row r="7" spans="1:33" ht="14.5" hidden="1">
      <c r="A7" t="s">
        <v>11</v>
      </c>
      <c r="C7" s="59"/>
      <c r="D7" s="51"/>
      <c r="E7" s="50"/>
      <c r="F7" s="51"/>
      <c r="G7" s="50"/>
      <c r="H7" s="51"/>
      <c r="I7" s="50"/>
      <c r="J7" s="51"/>
      <c r="K7" s="50"/>
      <c r="L7" s="51"/>
      <c r="M7" s="50"/>
      <c r="N7" s="51"/>
      <c r="O7" s="50"/>
      <c r="P7" s="51"/>
      <c r="Q7" s="50"/>
      <c r="R7" s="51"/>
      <c r="S7" s="50"/>
      <c r="T7" s="51"/>
      <c r="U7" s="50"/>
      <c r="V7" s="51"/>
      <c r="W7" s="50"/>
      <c r="X7" s="51"/>
      <c r="Y7" s="50"/>
      <c r="Z7" s="51"/>
      <c r="AA7" s="50"/>
      <c r="AB7" s="51"/>
      <c r="AC7" s="50"/>
      <c r="AD7" s="51"/>
      <c r="AE7" s="50"/>
      <c r="AF7" s="50"/>
      <c r="AG7" s="61"/>
    </row>
    <row r="8" spans="1:33" ht="14.5" hidden="1">
      <c r="A8" t="s">
        <v>13</v>
      </c>
      <c r="AG8" s="31"/>
    </row>
    <row r="9" spans="3:3" ht="14.5" hidden="1">
      <c r="C9" t="s">
        <v>275</v>
      </c>
    </row>
    <row r="10" ht="14.5" hidden="1"/>
    <row r="11" spans="3:4" ht="14.5" hidden="1">
      <c r="C11" s="18" t="s">
        <v>0</v>
      </c>
      <c r="D11" s="18" t="s">
        <v>152</v>
      </c>
    </row>
    <row r="12" spans="3:4" ht="14.5" hidden="1">
      <c r="C12" s="18" t="s">
        <v>1</v>
      </c>
      <c r="D12" s="18" t="s">
        <v>246</v>
      </c>
    </row>
    <row r="13" spans="3:4" ht="14.5" hidden="1">
      <c r="C13" s="18" t="s">
        <v>50</v>
      </c>
      <c r="D13" s="18" t="s">
        <v>8</v>
      </c>
    </row>
    <row r="14" spans="3:4" ht="14.5" hidden="1">
      <c r="C14" s="18" t="s">
        <v>21</v>
      </c>
      <c r="D14" s="18" t="s">
        <v>271</v>
      </c>
    </row>
    <row r="15" spans="3:4" ht="14.5" hidden="1">
      <c r="C15" s="18" t="s">
        <v>4</v>
      </c>
      <c r="D15" s="18" t="s">
        <v>273</v>
      </c>
    </row>
    <row r="16" spans="3:4" ht="14.5" hidden="1">
      <c r="C16" s="18" t="s">
        <v>5</v>
      </c>
      <c r="D16" s="18" t="s">
        <v>143</v>
      </c>
    </row>
    <row r="17" spans="3:4" ht="14.5" hidden="1">
      <c r="C17" s="18" t="s">
        <v>6</v>
      </c>
      <c r="D17" s="18" t="str">
        <f ca="1">Master!$A$24</f>
        <v>MERCI</v>
      </c>
    </row>
    <row r="18" spans="3:4" ht="14.5" hidden="1">
      <c r="C18" s="18" t="s">
        <v>7</v>
      </c>
      <c r="D18" s="18" t="s">
        <v>133</v>
      </c>
    </row>
    <row r="19" spans="3:7" ht="14.5" hidden="1">
      <c r="C19" s="18" t="s">
        <v>67</v>
      </c>
      <c r="D19" s="18" t="str">
        <f ca="1">Master!$A$25</f>
        <v>YTD 2025.M12</v>
      </c>
      <c r="E19" s="18" t="str">
        <f ca="1">"YTD "&amp;(D20-1)&amp;"."&amp;RIGHT(D19,3)</f>
        <v>YTD 2024.M12</v>
      </c>
      <c r="F19" s="18" t="str">
        <f ca="1">MID(D19,5,8)</f>
        <v>2025.M12</v>
      </c>
      <c r="G19" s="18" t="s">
        <v>268</v>
      </c>
    </row>
    <row r="20" spans="3:4" ht="14.5" hidden="1">
      <c r="C20" s="18" t="s">
        <v>15</v>
      </c>
      <c r="D20" s="18" t="str">
        <f ca="1">MID(D19,5,4)</f>
        <v>2025</v>
      </c>
    </row>
    <row r="21" spans="3:4" ht="14.5">
      <c r="C21" s="1"/>
      <c r="D21" s="1"/>
    </row>
    <row r="22" spans="3:33" ht="14.5">
      <c r="C22" s="6" t="s">
        <v>48</v>
      </c>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6" t="str">
        <f ca="1">$D$17</f>
        <v>MERCI</v>
      </c>
    </row>
    <row r="23" spans="3:33" ht="14.5">
      <c r="C23" s="40" t="s">
        <v>66</v>
      </c>
      <c r="D23" s="62"/>
      <c r="E23" s="62"/>
      <c r="F23" s="62"/>
      <c r="G23" s="62"/>
      <c r="H23" s="62"/>
      <c r="I23" s="62"/>
      <c r="J23" s="62"/>
      <c r="K23" s="62"/>
      <c r="L23" s="62"/>
      <c r="M23" s="62"/>
      <c r="N23" s="62"/>
      <c r="O23" s="62"/>
      <c r="P23" s="62"/>
      <c r="Q23" s="62"/>
      <c r="R23" s="62"/>
      <c r="S23" s="62"/>
      <c r="T23" s="62"/>
      <c r="U23" s="62"/>
      <c r="V23" s="62"/>
      <c r="W23" s="62"/>
      <c r="X23" s="62"/>
      <c r="Y23" s="62"/>
      <c r="Z23" s="62"/>
      <c r="AA23" s="62"/>
      <c r="AB23" s="62"/>
      <c r="AD23" s="62"/>
      <c r="AG23" s="40" t="str">
        <f ca="1">$G$19&amp;" "&amp;$D$20</f>
        <v>December 2025</v>
      </c>
    </row>
    <row r="25" spans="3:3" ht="14.5">
      <c r="C25" s="1" t="s">
        <v>65</v>
      </c>
    </row>
    <row r="26" spans="3:27" ht="14.5" hidden="1">
      <c r="C26" s="1" t="s">
        <v>68</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4:32" ht="14.5" hidden="1">
      <c r="D27" s="52" t="str">
        <f ca="1">$D$20&amp;".M01"</f>
        <v>2025.M01</v>
      </c>
      <c r="E27" s="52" t="str">
        <f ca="1">$D$20&amp;".M01"</f>
        <v>2025.M01</v>
      </c>
      <c r="F27" s="52" t="str">
        <f ca="1">$D$20&amp;".M02"</f>
        <v>2025.M02</v>
      </c>
      <c r="G27" s="52" t="str">
        <f ca="1">$D$20&amp;".M02"</f>
        <v>2025.M02</v>
      </c>
      <c r="H27" s="52" t="str">
        <f ca="1">$D$20&amp;".M03"</f>
        <v>2025.M03</v>
      </c>
      <c r="I27" s="52" t="str">
        <f ca="1">$D$20&amp;".M03"</f>
        <v>2025.M03</v>
      </c>
      <c r="J27" s="52" t="str">
        <f ca="1">$D$20&amp;".M04"</f>
        <v>2025.M04</v>
      </c>
      <c r="K27" s="52" t="str">
        <f ca="1">$D$20&amp;".M04"</f>
        <v>2025.M04</v>
      </c>
      <c r="L27" s="52" t="str">
        <f ca="1">$D$20&amp;".M05"</f>
        <v>2025.M05</v>
      </c>
      <c r="M27" s="52" t="str">
        <f ca="1">$D$20&amp;".M05"</f>
        <v>2025.M05</v>
      </c>
      <c r="N27" s="52" t="str">
        <f ca="1">$D$20&amp;".M06"</f>
        <v>2025.M06</v>
      </c>
      <c r="O27" s="52" t="str">
        <f ca="1">$D$20&amp;".M06"</f>
        <v>2025.M06</v>
      </c>
      <c r="P27" s="52" t="str">
        <f ca="1">$D$20&amp;".M07"</f>
        <v>2025.M07</v>
      </c>
      <c r="Q27" s="52" t="str">
        <f ca="1">$D$20&amp;".M07"</f>
        <v>2025.M07</v>
      </c>
      <c r="R27" s="52" t="str">
        <f ca="1">$D$20&amp;".M08"</f>
        <v>2025.M08</v>
      </c>
      <c r="S27" s="52" t="str">
        <f ca="1">$D$20&amp;".M08"</f>
        <v>2025.M08</v>
      </c>
      <c r="T27" s="52" t="str">
        <f ca="1">$D$20&amp;".M09"</f>
        <v>2025.M09</v>
      </c>
      <c r="U27" s="52" t="str">
        <f ca="1">$D$20&amp;".M09"</f>
        <v>2025.M09</v>
      </c>
      <c r="V27" s="52" t="str">
        <f ca="1">$D$20&amp;".M10"</f>
        <v>2025.M10</v>
      </c>
      <c r="W27" s="52" t="str">
        <f ca="1">$D$20&amp;".M10"</f>
        <v>2025.M10</v>
      </c>
      <c r="X27" s="52" t="str">
        <f ca="1">$D$20&amp;".M11"</f>
        <v>2025.M11</v>
      </c>
      <c r="Y27" s="52" t="str">
        <f ca="1">$D$20&amp;".M11"</f>
        <v>2025.M11</v>
      </c>
      <c r="Z27" s="52" t="str">
        <f ca="1">$D$20&amp;".M12"</f>
        <v>2025.M12</v>
      </c>
      <c r="AA27" s="52" t="str">
        <f ca="1">$D$20&amp;".M12"</f>
        <v>2025.M12</v>
      </c>
      <c r="AB27" s="52" t="str">
        <f ca="1">$D$19</f>
        <v>YTD 2025.M12</v>
      </c>
      <c r="AC27" s="52" t="str">
        <f ca="1">$D$19</f>
        <v>YTD 2025.M12</v>
      </c>
      <c r="AD27" s="52" t="str">
        <f ca="1">$E$19</f>
        <v>YTD 2024.M12</v>
      </c>
      <c r="AE27" s="52" t="str">
        <f ca="1">$E$19</f>
        <v>YTD 2024.M12</v>
      </c>
      <c r="AF27" s="52"/>
    </row>
    <row r="28" spans="4:32" ht="14.5" hidden="1">
      <c r="D28" s="52" t="s">
        <v>45</v>
      </c>
      <c r="E28" s="52" t="s">
        <v>62</v>
      </c>
      <c r="F28" s="52" t="s">
        <v>45</v>
      </c>
      <c r="G28" s="52" t="s">
        <v>62</v>
      </c>
      <c r="H28" s="52" t="s">
        <v>45</v>
      </c>
      <c r="I28" s="52" t="s">
        <v>62</v>
      </c>
      <c r="J28" s="52" t="s">
        <v>45</v>
      </c>
      <c r="K28" s="52" t="s">
        <v>62</v>
      </c>
      <c r="L28" s="52" t="s">
        <v>45</v>
      </c>
      <c r="M28" s="52" t="s">
        <v>62</v>
      </c>
      <c r="N28" s="52" t="s">
        <v>45</v>
      </c>
      <c r="O28" s="52" t="s">
        <v>62</v>
      </c>
      <c r="P28" s="52" t="s">
        <v>45</v>
      </c>
      <c r="Q28" s="52" t="s">
        <v>62</v>
      </c>
      <c r="R28" s="52" t="s">
        <v>45</v>
      </c>
      <c r="S28" s="52" t="s">
        <v>62</v>
      </c>
      <c r="T28" s="52" t="s">
        <v>45</v>
      </c>
      <c r="U28" s="52" t="s">
        <v>62</v>
      </c>
      <c r="V28" s="52" t="s">
        <v>45</v>
      </c>
      <c r="W28" s="52" t="s">
        <v>62</v>
      </c>
      <c r="X28" s="52" t="s">
        <v>45</v>
      </c>
      <c r="Y28" s="52" t="s">
        <v>62</v>
      </c>
      <c r="Z28" s="52" t="s">
        <v>45</v>
      </c>
      <c r="AA28" s="52" t="s">
        <v>62</v>
      </c>
      <c r="AB28" s="52" t="s">
        <v>45</v>
      </c>
      <c r="AC28" s="52" t="s">
        <v>62</v>
      </c>
      <c r="AD28" s="52" t="s">
        <v>45</v>
      </c>
      <c r="AE28" s="52" t="s">
        <v>62</v>
      </c>
      <c r="AF28" s="52"/>
    </row>
    <row r="29" spans="3:33" ht="14.5">
      <c r="C29" s="86" t="s">
        <v>64</v>
      </c>
      <c r="D29" s="302" t="s">
        <v>267</v>
      </c>
      <c r="E29" s="300"/>
      <c r="F29" s="300" t="s">
        <v>244</v>
      </c>
      <c r="G29" s="300"/>
      <c r="H29" s="300" t="s">
        <v>269</v>
      </c>
      <c r="I29" s="300"/>
      <c r="J29" s="300" t="s">
        <v>242</v>
      </c>
      <c r="K29" s="300"/>
      <c r="L29" s="300" t="s">
        <v>264</v>
      </c>
      <c r="M29" s="300"/>
      <c r="N29" s="300" t="s">
        <v>266</v>
      </c>
      <c r="O29" s="300"/>
      <c r="P29" s="300" t="s">
        <v>386</v>
      </c>
      <c r="Q29" s="300"/>
      <c r="R29" s="300" t="s">
        <v>387</v>
      </c>
      <c r="S29" s="300"/>
      <c r="T29" s="300" t="s">
        <v>388</v>
      </c>
      <c r="U29" s="300"/>
      <c r="V29" s="300" t="s">
        <v>389</v>
      </c>
      <c r="W29" s="300"/>
      <c r="X29" s="300" t="s">
        <v>390</v>
      </c>
      <c r="Y29" s="300"/>
      <c r="Z29" s="300" t="s">
        <v>391</v>
      </c>
      <c r="AA29" s="300"/>
      <c r="AB29" s="300" t="str">
        <f ca="1">LEFT(AC27,8)</f>
        <v>YTD 2025</v>
      </c>
      <c r="AC29" s="301"/>
      <c r="AD29" s="300" t="str">
        <f ca="1">LEFT(AE27,8)</f>
        <v>YTD 2024</v>
      </c>
      <c r="AE29" s="301"/>
      <c r="AF29" s="180" t="s">
        <v>134</v>
      </c>
      <c r="AG29" s="87" t="s">
        <v>134</v>
      </c>
    </row>
    <row r="30" spans="3:33" s="129" customFormat="1" ht="12.75" customHeight="1">
      <c r="C30" s="130"/>
      <c r="D30" s="131" t="s">
        <v>63</v>
      </c>
      <c r="E30" s="132" t="s">
        <v>57</v>
      </c>
      <c r="F30" s="132" t="s">
        <v>63</v>
      </c>
      <c r="G30" s="132" t="s">
        <v>57</v>
      </c>
      <c r="H30" s="132" t="s">
        <v>63</v>
      </c>
      <c r="I30" s="132" t="s">
        <v>57</v>
      </c>
      <c r="J30" s="132" t="s">
        <v>63</v>
      </c>
      <c r="K30" s="132" t="s">
        <v>57</v>
      </c>
      <c r="L30" s="132" t="s">
        <v>63</v>
      </c>
      <c r="M30" s="132" t="s">
        <v>57</v>
      </c>
      <c r="N30" s="132" t="s">
        <v>63</v>
      </c>
      <c r="O30" s="132" t="s">
        <v>57</v>
      </c>
      <c r="P30" s="132" t="s">
        <v>63</v>
      </c>
      <c r="Q30" s="132" t="s">
        <v>57</v>
      </c>
      <c r="R30" s="132" t="s">
        <v>63</v>
      </c>
      <c r="S30" s="132" t="s">
        <v>57</v>
      </c>
      <c r="T30" s="132" t="s">
        <v>63</v>
      </c>
      <c r="U30" s="132" t="s">
        <v>57</v>
      </c>
      <c r="V30" s="132" t="s">
        <v>63</v>
      </c>
      <c r="W30" s="132" t="s">
        <v>57</v>
      </c>
      <c r="X30" s="132" t="s">
        <v>63</v>
      </c>
      <c r="Y30" s="132" t="s">
        <v>57</v>
      </c>
      <c r="Z30" s="132" t="s">
        <v>63</v>
      </c>
      <c r="AA30" s="132" t="s">
        <v>57</v>
      </c>
      <c r="AB30" s="132" t="s">
        <v>63</v>
      </c>
      <c r="AC30" s="133" t="s">
        <v>57</v>
      </c>
      <c r="AD30" s="132" t="s">
        <v>63</v>
      </c>
      <c r="AE30" s="133" t="s">
        <v>57</v>
      </c>
      <c r="AF30" s="218" t="s">
        <v>80</v>
      </c>
      <c r="AG30" s="221" t="s">
        <v>135</v>
      </c>
    </row>
    <row r="31" spans="1:33" ht="14.5">
      <c r="A31">
        <v>2</v>
      </c>
      <c r="C31" s="59" t="s">
        <v>416</v>
      </c>
      <c r="D31" s="51">
        <v>51.68</v>
      </c>
      <c r="E31" s="50">
        <v>0.00092867162221753417</v>
      </c>
      <c r="F31" s="51">
        <v>77.359999999999999</v>
      </c>
      <c r="G31" s="50">
        <v>0.001667852445939245</v>
      </c>
      <c r="H31" s="51">
        <v>64.680000000000007</v>
      </c>
      <c r="I31" s="50">
        <v>0.0012973058839882009</v>
      </c>
      <c r="J31" s="51">
        <v>13</v>
      </c>
      <c r="K31" s="50">
        <v>0.00029676808145142421</v>
      </c>
      <c r="L31" s="51">
        <v>0</v>
      </c>
      <c r="M31" s="50">
        <v>0</v>
      </c>
      <c r="N31" s="51">
        <v>0</v>
      </c>
      <c r="O31" s="50">
        <v>0</v>
      </c>
      <c r="P31" s="51">
        <v>6032.2399999999989</v>
      </c>
      <c r="Q31" s="50">
        <v>0.12687745181656587</v>
      </c>
      <c r="R31" s="51">
        <v>2099.2000000000003</v>
      </c>
      <c r="S31" s="50">
        <v>0.05662832187611528</v>
      </c>
      <c r="T31" s="51">
        <v>3244.9399999999996</v>
      </c>
      <c r="U31" s="50">
        <v>0.080507976267447254</v>
      </c>
      <c r="V31" s="51">
        <v>2389.0299999999997</v>
      </c>
      <c r="W31" s="50">
        <v>0.071311582330113268</v>
      </c>
      <c r="X31" s="51">
        <v>1557.7200000000003</v>
      </c>
      <c r="Y31" s="50">
        <v>0.051540981784035565</v>
      </c>
      <c r="Z31" s="51">
        <v>3888.5600000000004</v>
      </c>
      <c r="AA31" s="50">
        <v>0.058325404990453744</v>
      </c>
      <c r="AB31" s="51">
        <v>19418.41</v>
      </c>
      <c r="AC31" s="50">
        <v>0.036386662922518513</v>
      </c>
      <c r="AD31" s="51">
        <v>492.09999999999997</v>
      </c>
      <c r="AE31" s="50">
        <v>0.00089572861588996364</v>
      </c>
      <c r="AF31" s="220">
        <f ca="1">AC31-AE31</f>
        <v>0.035490934306628551</v>
      </c>
      <c r="AG31" s="61">
        <f ca="1">IFERROR((AB31/AD31)-1,0)</f>
        <v>38.46029262345052</v>
      </c>
    </row>
    <row r="32" spans="1:33" ht="14.5">
      <c r="A32">
        <v>2</v>
      </c>
      <c r="C32" s="59" t="s">
        <v>182</v>
      </c>
      <c r="D32" s="51">
        <v>0</v>
      </c>
      <c r="E32" s="50">
        <v>0</v>
      </c>
      <c r="F32" s="51">
        <v>0</v>
      </c>
      <c r="G32" s="50">
        <v>0</v>
      </c>
      <c r="H32" s="51">
        <v>0</v>
      </c>
      <c r="I32" s="50">
        <v>0</v>
      </c>
      <c r="J32" s="51">
        <v>0</v>
      </c>
      <c r="K32" s="50">
        <v>0</v>
      </c>
      <c r="L32" s="51">
        <v>0</v>
      </c>
      <c r="M32" s="50">
        <v>0</v>
      </c>
      <c r="N32" s="51">
        <v>0</v>
      </c>
      <c r="O32" s="50">
        <v>0</v>
      </c>
      <c r="P32" s="51">
        <v>0</v>
      </c>
      <c r="Q32" s="50">
        <v>0</v>
      </c>
      <c r="R32" s="51">
        <v>0</v>
      </c>
      <c r="S32" s="50">
        <v>0</v>
      </c>
      <c r="T32" s="51">
        <v>36</v>
      </c>
      <c r="U32" s="50">
        <v>0.0008931712591382586</v>
      </c>
      <c r="V32" s="51">
        <v>1130.4000000000001</v>
      </c>
      <c r="W32" s="50">
        <v>0.033741984263889545</v>
      </c>
      <c r="X32" s="51">
        <v>921.60000000000002</v>
      </c>
      <c r="Y32" s="50">
        <v>0.030493393428964888</v>
      </c>
      <c r="Z32" s="51">
        <v>1759.1999999999998</v>
      </c>
      <c r="AA32" s="50">
        <v>0.026386645045776896</v>
      </c>
      <c r="AB32" s="51">
        <v>3847.1999999999998</v>
      </c>
      <c r="AC32" s="50">
        <v>0.0072089717744920016</v>
      </c>
      <c r="AD32" s="51">
        <v>0</v>
      </c>
      <c r="AE32" s="50">
        <v>0</v>
      </c>
      <c r="AF32" s="220">
        <f ca="1">AC32-AE32</f>
        <v>0.0072089717744920016</v>
      </c>
      <c r="AG32" s="61">
        <f ca="1">IFERROR((AB32/AD32)-1,0)</f>
        <v>0</v>
      </c>
    </row>
    <row r="33" spans="1:33" ht="14.5">
      <c r="A33">
        <v>2</v>
      </c>
      <c r="C33" s="59" t="s">
        <v>241</v>
      </c>
      <c r="D33" s="51">
        <v>8252.3200000000015</v>
      </c>
      <c r="E33" s="50">
        <v>0.14829131968765868</v>
      </c>
      <c r="F33" s="51">
        <v>8173.25</v>
      </c>
      <c r="G33" s="50">
        <v>0.1762121898109221</v>
      </c>
      <c r="H33" s="51">
        <v>7413.909999999998</v>
      </c>
      <c r="I33" s="50">
        <v>0.14870298494679904</v>
      </c>
      <c r="J33" s="51">
        <v>5780.8499999999985</v>
      </c>
      <c r="K33" s="50">
        <v>0.13196705874295889</v>
      </c>
      <c r="L33" s="51">
        <v>4638.5999999999995</v>
      </c>
      <c r="M33" s="50">
        <v>0.12228554225093873</v>
      </c>
      <c r="N33" s="51">
        <v>5939.0299999999997</v>
      </c>
      <c r="O33" s="50">
        <v>0.13278325852807851</v>
      </c>
      <c r="P33" s="51">
        <v>3807.1299999999997</v>
      </c>
      <c r="Q33" s="50">
        <v>0.080076215988488922</v>
      </c>
      <c r="R33" s="51">
        <v>3806.3899999999994</v>
      </c>
      <c r="S33" s="50">
        <v>0.10268172546971534</v>
      </c>
      <c r="T33" s="51">
        <v>2972.2400000000002</v>
      </c>
      <c r="U33" s="50">
        <v>0.073742203979474938</v>
      </c>
      <c r="V33" s="51">
        <v>3128.3099999999999</v>
      </c>
      <c r="W33" s="50">
        <v>0.093378792279342093</v>
      </c>
      <c r="X33" s="51">
        <v>3458.7800000000002</v>
      </c>
      <c r="Y33" s="50">
        <v>0.11444220846813713</v>
      </c>
      <c r="Z33" s="51">
        <v>10392.719999999998</v>
      </c>
      <c r="AA33" s="50">
        <v>0.15588279541845526</v>
      </c>
      <c r="AB33" s="51">
        <v>67763.529999999984</v>
      </c>
      <c r="AC33" s="50">
        <v>0.12697685982271312</v>
      </c>
      <c r="AD33" s="51">
        <v>40740.990000000005</v>
      </c>
      <c r="AE33" s="50">
        <v>0.074157428536246378</v>
      </c>
      <c r="AF33" s="220">
        <f ca="1">AC33-AE33</f>
        <v>0.052819431286466739</v>
      </c>
      <c r="AG33" s="61">
        <f ca="1">IFERROR((AB33/AD33)-1,0)</f>
        <v>0.66327646922669214</v>
      </c>
    </row>
    <row r="34" spans="1:33" ht="14.5">
      <c r="A34">
        <v>2</v>
      </c>
      <c r="C34" s="59" t="s">
        <v>240</v>
      </c>
      <c r="D34" s="51">
        <v>19938.099999999995</v>
      </c>
      <c r="E34" s="50">
        <v>0.3582807211868308</v>
      </c>
      <c r="F34" s="51">
        <v>15628.989999999998</v>
      </c>
      <c r="G34" s="50">
        <v>0.33695513442425029</v>
      </c>
      <c r="H34" s="51">
        <v>17438.479999999996</v>
      </c>
      <c r="I34" s="50">
        <v>0.34976874940956337</v>
      </c>
      <c r="J34" s="51">
        <v>14503.299999999999</v>
      </c>
      <c r="K34" s="50">
        <v>0.33108588582418774</v>
      </c>
      <c r="L34" s="51">
        <v>10620.520000000002</v>
      </c>
      <c r="M34" s="50">
        <v>0.27998448824794975</v>
      </c>
      <c r="N34" s="51">
        <v>11821.200000000004</v>
      </c>
      <c r="O34" s="50">
        <v>0.26429525624758959</v>
      </c>
      <c r="P34" s="51">
        <v>5131.0099999999993</v>
      </c>
      <c r="Q34" s="50">
        <v>0.10792167984783725</v>
      </c>
      <c r="R34" s="51">
        <v>2579.3800000000001</v>
      </c>
      <c r="S34" s="50">
        <v>0.069581726791546436</v>
      </c>
      <c r="T34" s="51">
        <v>2652.3999999999996</v>
      </c>
      <c r="U34" s="50">
        <v>0.065806873548286585</v>
      </c>
      <c r="V34" s="51">
        <v>1743.6300000000001</v>
      </c>
      <c r="W34" s="50">
        <v>0.052046652531887581</v>
      </c>
      <c r="X34" s="51">
        <v>1026.45</v>
      </c>
      <c r="Y34" s="50">
        <v>0.033962612505600051</v>
      </c>
      <c r="Z34" s="51">
        <v>2898.7399999999993</v>
      </c>
      <c r="AA34" s="50">
        <v>0.043478867360161058</v>
      </c>
      <c r="AB34" s="51">
        <v>105982.2</v>
      </c>
      <c r="AC34" s="50">
        <v>0.19859188199172548</v>
      </c>
      <c r="AD34" s="51">
        <v>223175.70000000007</v>
      </c>
      <c r="AE34" s="50">
        <v>0.40622812611516712</v>
      </c>
      <c r="AF34" s="220">
        <f ca="1">AC34-AE34</f>
        <v>-0.20763624412344164</v>
      </c>
      <c r="AG34" s="61">
        <f ca="1">IFERROR((AB34/AD34)-1,0)</f>
        <v>-0.52511765393813059</v>
      </c>
    </row>
    <row r="35" spans="1:33" ht="14.5">
      <c r="A35">
        <v>2</v>
      </c>
      <c r="C35" s="59" t="s">
        <v>239</v>
      </c>
      <c r="D35" s="51">
        <v>1366.74</v>
      </c>
      <c r="E35" s="50">
        <v>0.024559842355835772</v>
      </c>
      <c r="F35" s="51">
        <v>1643.4000000000001</v>
      </c>
      <c r="G35" s="50">
        <v>0.035431084664640067</v>
      </c>
      <c r="H35" s="51">
        <v>1951.1399999999999</v>
      </c>
      <c r="I35" s="50">
        <v>0.039134591875150553</v>
      </c>
      <c r="J35" s="51">
        <v>1667.5799999999999</v>
      </c>
      <c r="K35" s="50">
        <v>0.038068039789751228</v>
      </c>
      <c r="L35" s="51">
        <v>1856.4300000000001</v>
      </c>
      <c r="M35" s="50">
        <v>0.048940315871364236</v>
      </c>
      <c r="N35" s="51">
        <v>2375.1899999999996</v>
      </c>
      <c r="O35" s="50">
        <v>0.053103868447087629</v>
      </c>
      <c r="P35" s="51">
        <v>2675.7299999999996</v>
      </c>
      <c r="Q35" s="50">
        <v>0.056279226978558521</v>
      </c>
      <c r="R35" s="51">
        <v>2064</v>
      </c>
      <c r="S35" s="50">
        <v>0.055678761600753593</v>
      </c>
      <c r="T35" s="51">
        <v>3449.5999999999999</v>
      </c>
      <c r="U35" s="50">
        <v>0.085585654875648259</v>
      </c>
      <c r="V35" s="51">
        <v>3183.3999999999996</v>
      </c>
      <c r="W35" s="50">
        <v>0.095023206569060464</v>
      </c>
      <c r="X35" s="51">
        <v>4863.0100000000002</v>
      </c>
      <c r="Y35" s="50">
        <v>0.16090459763345324</v>
      </c>
      <c r="Z35" s="51">
        <v>6103.5699999999997</v>
      </c>
      <c r="AA35" s="50">
        <v>0.091548848966605575</v>
      </c>
      <c r="AB35" s="51">
        <v>33199.790000000001</v>
      </c>
      <c r="AC35" s="50">
        <v>0.062210529483536552</v>
      </c>
      <c r="AD35" s="51">
        <v>22530.77</v>
      </c>
      <c r="AE35" s="50">
        <v>0.041010882802347326</v>
      </c>
      <c r="AF35" s="220">
        <f ca="1">AC35-AE35</f>
        <v>0.021199646681189226</v>
      </c>
      <c r="AG35" s="61">
        <f ca="1">IFERROR((AB35/AD35)-1,0)</f>
        <v>0.47353108659846077</v>
      </c>
    </row>
    <row r="36" spans="1:33" ht="14.5">
      <c r="A36">
        <v>2</v>
      </c>
      <c r="C36" s="59" t="s">
        <v>249</v>
      </c>
      <c r="D36" s="51">
        <v>0</v>
      </c>
      <c r="E36" s="50">
        <v>0</v>
      </c>
      <c r="F36" s="51">
        <v>0</v>
      </c>
      <c r="G36" s="50">
        <v>0</v>
      </c>
      <c r="H36" s="51">
        <v>0</v>
      </c>
      <c r="I36" s="50">
        <v>0</v>
      </c>
      <c r="J36" s="51">
        <v>0</v>
      </c>
      <c r="K36" s="50">
        <v>0</v>
      </c>
      <c r="L36" s="51">
        <v>0</v>
      </c>
      <c r="M36" s="50">
        <v>0</v>
      </c>
      <c r="N36" s="51">
        <v>0</v>
      </c>
      <c r="O36" s="50">
        <v>0</v>
      </c>
      <c r="P36" s="51">
        <v>1005.25</v>
      </c>
      <c r="Q36" s="50">
        <v>0.021143647871868967</v>
      </c>
      <c r="R36" s="51">
        <v>987.39999999999986</v>
      </c>
      <c r="S36" s="50">
        <v>0.02663624476966284</v>
      </c>
      <c r="T36" s="51">
        <v>811.31999999999994</v>
      </c>
      <c r="U36" s="50">
        <v>0.020129102943445887</v>
      </c>
      <c r="V36" s="51">
        <v>819.64999999999998</v>
      </c>
      <c r="W36" s="50">
        <v>0.024466222046971922</v>
      </c>
      <c r="X36" s="51">
        <v>337.92999999999995</v>
      </c>
      <c r="Y36" s="50">
        <v>0.011181241798448463</v>
      </c>
      <c r="Z36" s="51">
        <v>914.29999999999995</v>
      </c>
      <c r="AA36" s="50">
        <v>0.013713795796585845</v>
      </c>
      <c r="AB36" s="51">
        <v>4875.8499999999995</v>
      </c>
      <c r="AC36" s="50">
        <v>0.0091364797844294115</v>
      </c>
      <c r="AD36" s="51">
        <v>0</v>
      </c>
      <c r="AE36" s="50">
        <v>0</v>
      </c>
      <c r="AF36" s="220">
        <f ca="1">AC36-AE36</f>
        <v>0.0091364797844294115</v>
      </c>
      <c r="AG36" s="61">
        <f ca="1">IFERROR((AB36/AD36)-1,0)</f>
        <v>0</v>
      </c>
    </row>
    <row r="37" spans="1:33" ht="14.5">
      <c r="A37">
        <v>1</v>
      </c>
      <c r="C37" s="58" t="s">
        <v>248</v>
      </c>
      <c r="D37" s="53">
        <v>29608.84</v>
      </c>
      <c r="E37" s="54">
        <v>0.53206055485254289</v>
      </c>
      <c r="F37" s="53">
        <v>25523</v>
      </c>
      <c r="G37" s="54">
        <v>0.55026626134575174</v>
      </c>
      <c r="H37" s="53">
        <v>26868.209999999992</v>
      </c>
      <c r="I37" s="54">
        <v>0.53890363211550119</v>
      </c>
      <c r="J37" s="53">
        <v>21964.729999999996</v>
      </c>
      <c r="K37" s="54">
        <v>0.50141775243834941</v>
      </c>
      <c r="L37" s="53">
        <v>17115.550000000003</v>
      </c>
      <c r="M37" s="54">
        <v>0.45121034637025265</v>
      </c>
      <c r="N37" s="53">
        <v>20135.420000000002</v>
      </c>
      <c r="O37" s="54">
        <v>0.45018238322275567</v>
      </c>
      <c r="P37" s="53">
        <v>18651.359999999997</v>
      </c>
      <c r="Q37" s="54">
        <v>0.39229822250331958</v>
      </c>
      <c r="R37" s="53">
        <v>11536.370000000001</v>
      </c>
      <c r="S37" s="54">
        <v>0.31120678050779349</v>
      </c>
      <c r="T37" s="53">
        <v>13166.5</v>
      </c>
      <c r="U37" s="54">
        <v>0.32666498287344115</v>
      </c>
      <c r="V37" s="53">
        <v>12394.419999999998</v>
      </c>
      <c r="W37" s="54">
        <v>0.36996844002126483</v>
      </c>
      <c r="X37" s="53">
        <v>12165.490000000002</v>
      </c>
      <c r="Y37" s="54">
        <v>0.40252503561863934</v>
      </c>
      <c r="Z37" s="53">
        <v>25957.089999999997</v>
      </c>
      <c r="AA37" s="54">
        <v>0.38933635757803842</v>
      </c>
      <c r="AB37" s="53">
        <v>235086.97999999995</v>
      </c>
      <c r="AC37" s="54">
        <v>0.44051138577941507</v>
      </c>
      <c r="AD37" s="53">
        <v>286939.56000000006</v>
      </c>
      <c r="AE37" s="54">
        <v>0.5222921660696509</v>
      </c>
      <c r="AF37" s="219">
        <f ca="1">AC37-AE37</f>
        <v>-0.081780780290235833</v>
      </c>
      <c r="AG37" s="219">
        <f ca="1">IFERROR((AB37/AD37)-1,0)</f>
        <v>-0.18070906639711892</v>
      </c>
    </row>
    <row r="38" spans="1:33" ht="14.5">
      <c r="A38">
        <v>2</v>
      </c>
      <c r="C38" s="59" t="s">
        <v>238</v>
      </c>
      <c r="D38" s="51">
        <v>0</v>
      </c>
      <c r="E38" s="50">
        <v>0</v>
      </c>
      <c r="F38" s="51">
        <v>0</v>
      </c>
      <c r="G38" s="50">
        <v>0</v>
      </c>
      <c r="H38" s="51">
        <v>0</v>
      </c>
      <c r="I38" s="50">
        <v>0</v>
      </c>
      <c r="J38" s="51">
        <v>0</v>
      </c>
      <c r="K38" s="50">
        <v>0</v>
      </c>
      <c r="L38" s="51">
        <v>0</v>
      </c>
      <c r="M38" s="50">
        <v>0</v>
      </c>
      <c r="N38" s="51">
        <v>0</v>
      </c>
      <c r="O38" s="50">
        <v>0</v>
      </c>
      <c r="P38" s="51">
        <v>6063.0999999999995</v>
      </c>
      <c r="Q38" s="50">
        <v>0.12752653709219469</v>
      </c>
      <c r="R38" s="51">
        <v>4840.8000000000002</v>
      </c>
      <c r="S38" s="50">
        <v>0.13058611877758139</v>
      </c>
      <c r="T38" s="51">
        <v>4558.8199999999997</v>
      </c>
      <c r="U38" s="50">
        <v>0.11310574998846322</v>
      </c>
      <c r="V38" s="51">
        <v>2516.6300000000001</v>
      </c>
      <c r="W38" s="50">
        <v>0.0751203908864405</v>
      </c>
      <c r="X38" s="51">
        <v>1871.3</v>
      </c>
      <c r="Y38" s="50">
        <v>0.061916544187957896</v>
      </c>
      <c r="Z38" s="51">
        <v>6174.6499999999996</v>
      </c>
      <c r="AA38" s="50">
        <v>0.09261499422004682</v>
      </c>
      <c r="AB38" s="51">
        <v>26025.299999999996</v>
      </c>
      <c r="AC38" s="50">
        <v>0.048766805240873026</v>
      </c>
      <c r="AD38" s="51">
        <v>0</v>
      </c>
      <c r="AE38" s="50">
        <v>0</v>
      </c>
      <c r="AF38" s="220">
        <f ca="1">AC38-AE38</f>
        <v>0.048766805240873026</v>
      </c>
      <c r="AG38" s="61">
        <f ca="1">IFERROR((AB38/AD38)-1,0)</f>
        <v>0</v>
      </c>
    </row>
    <row r="39" spans="1:33" ht="14.5">
      <c r="A39">
        <v>1</v>
      </c>
      <c r="C39" s="58" t="s">
        <v>223</v>
      </c>
      <c r="D39" s="53">
        <v>0</v>
      </c>
      <c r="E39" s="54">
        <v>0</v>
      </c>
      <c r="F39" s="53">
        <v>0</v>
      </c>
      <c r="G39" s="54">
        <v>0</v>
      </c>
      <c r="H39" s="53">
        <v>0</v>
      </c>
      <c r="I39" s="54">
        <v>0</v>
      </c>
      <c r="J39" s="53">
        <v>0</v>
      </c>
      <c r="K39" s="54">
        <v>0</v>
      </c>
      <c r="L39" s="53">
        <v>0</v>
      </c>
      <c r="M39" s="54">
        <v>0</v>
      </c>
      <c r="N39" s="53">
        <v>0</v>
      </c>
      <c r="O39" s="54">
        <v>0</v>
      </c>
      <c r="P39" s="53">
        <v>6063.0999999999995</v>
      </c>
      <c r="Q39" s="54">
        <v>0.12752653709219469</v>
      </c>
      <c r="R39" s="53">
        <v>4840.8000000000002</v>
      </c>
      <c r="S39" s="54">
        <v>0.13058611877758139</v>
      </c>
      <c r="T39" s="53">
        <v>4558.8199999999997</v>
      </c>
      <c r="U39" s="54">
        <v>0.11310574998846322</v>
      </c>
      <c r="V39" s="53">
        <v>2516.6300000000001</v>
      </c>
      <c r="W39" s="54">
        <v>0.0751203908864405</v>
      </c>
      <c r="X39" s="53">
        <v>1871.3</v>
      </c>
      <c r="Y39" s="54">
        <v>0.061916544187957896</v>
      </c>
      <c r="Z39" s="53">
        <v>6174.6499999999996</v>
      </c>
      <c r="AA39" s="54">
        <v>0.09261499422004682</v>
      </c>
      <c r="AB39" s="53">
        <v>26025.299999999996</v>
      </c>
      <c r="AC39" s="54">
        <v>0.048766805240873026</v>
      </c>
      <c r="AD39" s="53">
        <v>0</v>
      </c>
      <c r="AE39" s="54">
        <v>0</v>
      </c>
      <c r="AF39" s="219">
        <f ca="1">AC39-AE39</f>
        <v>0.048766805240873026</v>
      </c>
      <c r="AG39" s="219">
        <f ca="1">IFERROR((AB39/AD39)-1,0)</f>
        <v>0</v>
      </c>
    </row>
    <row r="40" spans="1:33" ht="14.5">
      <c r="A40">
        <v>2</v>
      </c>
      <c r="C40" s="59" t="s">
        <v>382</v>
      </c>
      <c r="D40" s="51">
        <v>4541.5799999999999</v>
      </c>
      <c r="E40" s="50">
        <v>0.081610612732792367</v>
      </c>
      <c r="F40" s="51">
        <v>959.60000000000002</v>
      </c>
      <c r="G40" s="50">
        <v>0.020688614363020934</v>
      </c>
      <c r="H40" s="51">
        <v>288.39999999999998</v>
      </c>
      <c r="I40" s="50">
        <v>0.00578452407146254</v>
      </c>
      <c r="J40" s="51">
        <v>0</v>
      </c>
      <c r="K40" s="50">
        <v>0</v>
      </c>
      <c r="L40" s="51">
        <v>3996</v>
      </c>
      <c r="M40" s="50">
        <v>0.10534493744551182</v>
      </c>
      <c r="N40" s="51">
        <v>4099.0699999999997</v>
      </c>
      <c r="O40" s="50">
        <v>0.091645920551788898</v>
      </c>
      <c r="P40" s="51">
        <v>3598.6900000000001</v>
      </c>
      <c r="Q40" s="50">
        <v>0.07569205089282878</v>
      </c>
      <c r="R40" s="51">
        <v>3472.8800000000001</v>
      </c>
      <c r="S40" s="50">
        <v>0.09368491162210521</v>
      </c>
      <c r="T40" s="51">
        <v>5141.5699999999997</v>
      </c>
      <c r="U40" s="50">
        <v>0.12756395974576379</v>
      </c>
      <c r="V40" s="51">
        <v>4704.5900000000001</v>
      </c>
      <c r="W40" s="50">
        <v>0.1404301147806547</v>
      </c>
      <c r="X40" s="51">
        <v>3845.7399999999998</v>
      </c>
      <c r="Y40" s="50">
        <v>0.12724572791396205</v>
      </c>
      <c r="Z40" s="51">
        <v>5591.0500000000002</v>
      </c>
      <c r="AA40" s="50">
        <v>0.083861443714865244</v>
      </c>
      <c r="AB40" s="51">
        <v>40239.170000000006</v>
      </c>
      <c r="AC40" s="50">
        <v>0.075401081503167336</v>
      </c>
      <c r="AD40" s="51">
        <v>47935.349999999999</v>
      </c>
      <c r="AE40" s="50">
        <v>0.087252722429792665</v>
      </c>
      <c r="AF40" s="220">
        <f ca="1">AC40-AE40</f>
        <v>-0.011851640926625329</v>
      </c>
      <c r="AG40" s="61">
        <f ca="1">IFERROR((AB40/AD40)-1,0)</f>
        <v>-0.16055332859778837</v>
      </c>
    </row>
    <row r="41" spans="1:33" ht="14.5">
      <c r="A41">
        <v>2</v>
      </c>
      <c r="C41" s="59" t="s">
        <v>383</v>
      </c>
      <c r="D41" s="51">
        <v>21498.960000000003</v>
      </c>
      <c r="E41" s="50">
        <v>0.38632883241466481</v>
      </c>
      <c r="F41" s="51">
        <v>19900.399999999998</v>
      </c>
      <c r="G41" s="50">
        <v>0.42904512429122743</v>
      </c>
      <c r="H41" s="51">
        <v>22700.559999999998</v>
      </c>
      <c r="I41" s="50">
        <v>0.4553118438130363</v>
      </c>
      <c r="J41" s="51">
        <v>21840.519999999997</v>
      </c>
      <c r="K41" s="50">
        <v>0.4985822475616507</v>
      </c>
      <c r="L41" s="51">
        <v>16820.98</v>
      </c>
      <c r="M41" s="50">
        <v>0.44344471618423553</v>
      </c>
      <c r="N41" s="51">
        <v>20492.759999999998</v>
      </c>
      <c r="O41" s="50">
        <v>0.45817169622545534</v>
      </c>
      <c r="P41" s="51">
        <v>19230.679999999993</v>
      </c>
      <c r="Q41" s="50">
        <v>0.4044831895116569</v>
      </c>
      <c r="R41" s="51">
        <v>17219.739999999998</v>
      </c>
      <c r="S41" s="50">
        <v>0.46452218909251974</v>
      </c>
      <c r="T41" s="51">
        <v>17438.930000000004</v>
      </c>
      <c r="U41" s="50">
        <v>0.43266530739233194</v>
      </c>
      <c r="V41" s="51">
        <v>13885.649999999996</v>
      </c>
      <c r="W41" s="50">
        <v>0.41448105431163995</v>
      </c>
      <c r="X41" s="51">
        <v>12340.41</v>
      </c>
      <c r="Y41" s="50">
        <v>0.40831269227944073</v>
      </c>
      <c r="Z41" s="51">
        <v>28947.300000000007</v>
      </c>
      <c r="AA41" s="50">
        <v>0.43418720448704967</v>
      </c>
      <c r="AB41" s="51">
        <v>232316.88999999998</v>
      </c>
      <c r="AC41" s="50">
        <v>0.43532072747654477</v>
      </c>
      <c r="AD41" s="51">
        <v>214510.23999999999</v>
      </c>
      <c r="AE41" s="50">
        <v>0.39045511150055662</v>
      </c>
      <c r="AF41" s="220">
        <f ca="1">AC41-AE41</f>
        <v>0.044865615975988149</v>
      </c>
      <c r="AG41" s="61">
        <f ca="1">IFERROR((AB41/AD41)-1,0)</f>
        <v>0.083010722471803744</v>
      </c>
    </row>
    <row r="42" spans="1:33" ht="14.5">
      <c r="A42">
        <v>1</v>
      </c>
      <c r="C42" s="58" t="s">
        <v>384</v>
      </c>
      <c r="D42" s="53">
        <v>26040.540000000001</v>
      </c>
      <c r="E42" s="54">
        <v>0.46793944514745722</v>
      </c>
      <c r="F42" s="53">
        <v>20859.999999999996</v>
      </c>
      <c r="G42" s="54">
        <v>0.44973373865424832</v>
      </c>
      <c r="H42" s="53">
        <v>22988.959999999999</v>
      </c>
      <c r="I42" s="54">
        <v>0.46109636788449887</v>
      </c>
      <c r="J42" s="53">
        <v>21840.519999999997</v>
      </c>
      <c r="K42" s="54">
        <v>0.4985822475616507</v>
      </c>
      <c r="L42" s="53">
        <v>20816.98</v>
      </c>
      <c r="M42" s="54">
        <v>0.5487896536297473</v>
      </c>
      <c r="N42" s="53">
        <v>24591.829999999998</v>
      </c>
      <c r="O42" s="54">
        <v>0.54981761677724428</v>
      </c>
      <c r="P42" s="53">
        <v>22829.369999999992</v>
      </c>
      <c r="Q42" s="54">
        <v>0.48017524040448567</v>
      </c>
      <c r="R42" s="53">
        <v>20692.619999999999</v>
      </c>
      <c r="S42" s="54">
        <v>0.55820710071462498</v>
      </c>
      <c r="T42" s="53">
        <v>22580.500000000004</v>
      </c>
      <c r="U42" s="54">
        <v>0.56022926713809573</v>
      </c>
      <c r="V42" s="53">
        <v>18590.239999999998</v>
      </c>
      <c r="W42" s="54">
        <v>0.55491116909229465</v>
      </c>
      <c r="X42" s="53">
        <v>16186.15</v>
      </c>
      <c r="Y42" s="54">
        <v>0.53555842019340272</v>
      </c>
      <c r="Z42" s="53">
        <v>34538.350000000006</v>
      </c>
      <c r="AA42" s="54">
        <v>0.51804864820191499</v>
      </c>
      <c r="AB42" s="53">
        <v>272556.06</v>
      </c>
      <c r="AC42" s="54">
        <v>0.51072180897971209</v>
      </c>
      <c r="AD42" s="53">
        <v>262445.58999999997</v>
      </c>
      <c r="AE42" s="54">
        <v>0.47770783393034927</v>
      </c>
      <c r="AF42" s="219">
        <f ca="1">AC42-AE42</f>
        <v>0.03301397504936282</v>
      </c>
      <c r="AG42" s="219">
        <f ca="1">IFERROR((AB42/AD42)-1,0)</f>
        <v>0.038524061311146607</v>
      </c>
    </row>
    <row r="43" spans="1:33" ht="14.5">
      <c r="A43">
        <v>0</v>
      </c>
      <c r="C43" s="57" t="s">
        <v>385</v>
      </c>
      <c r="D43" s="55">
        <v>55649.380000000005</v>
      </c>
      <c r="E43" s="56">
        <v>1</v>
      </c>
      <c r="F43" s="55">
        <v>46383</v>
      </c>
      <c r="G43" s="56">
        <v>1</v>
      </c>
      <c r="H43" s="55">
        <v>49857.169999999991</v>
      </c>
      <c r="I43" s="56">
        <v>1</v>
      </c>
      <c r="J43" s="55">
        <v>43805.249999999993</v>
      </c>
      <c r="K43" s="56">
        <v>1</v>
      </c>
      <c r="L43" s="55">
        <v>37932.529999999999</v>
      </c>
      <c r="M43" s="56">
        <v>1</v>
      </c>
      <c r="N43" s="55">
        <v>44727.25</v>
      </c>
      <c r="O43" s="56">
        <v>1</v>
      </c>
      <c r="P43" s="55">
        <v>47543.829999999987</v>
      </c>
      <c r="Q43" s="56">
        <v>1</v>
      </c>
      <c r="R43" s="55">
        <v>37069.790000000001</v>
      </c>
      <c r="S43" s="56">
        <v>1</v>
      </c>
      <c r="T43" s="55">
        <v>40305.820000000007</v>
      </c>
      <c r="U43" s="56">
        <v>1</v>
      </c>
      <c r="V43" s="55">
        <v>33501.289999999994</v>
      </c>
      <c r="W43" s="56">
        <v>1</v>
      </c>
      <c r="X43" s="55">
        <v>30222.939999999999</v>
      </c>
      <c r="Y43" s="56">
        <v>1</v>
      </c>
      <c r="Z43" s="55">
        <v>66670.090000000011</v>
      </c>
      <c r="AA43" s="56">
        <v>1</v>
      </c>
      <c r="AB43" s="55">
        <v>533668.33999999997</v>
      </c>
      <c r="AC43" s="56">
        <v>1</v>
      </c>
      <c r="AD43" s="55">
        <v>549385.15000000014</v>
      </c>
      <c r="AE43" s="56">
        <v>1</v>
      </c>
      <c r="AF43" s="56">
        <f ca="1">AC43-AE43</f>
        <v>0</v>
      </c>
      <c r="AG43" s="60">
        <f ca="1">IFERROR((AB43/AD43)-1,0)</f>
        <v>-0.028607999324335887</v>
      </c>
    </row>
  </sheetData>
  <mergeCells count="14">
    <mergeCell ref="N29:O29"/>
    <mergeCell ref="D29:E29"/>
    <mergeCell ref="F29:G29"/>
    <mergeCell ref="H29:I29"/>
    <mergeCell ref="J29:K29"/>
    <mergeCell ref="L29:M29"/>
    <mergeCell ref="AD29:AE29"/>
    <mergeCell ref="AB29:AC29"/>
    <mergeCell ref="P29:Q29"/>
    <mergeCell ref="R29:S29"/>
    <mergeCell ref="T29:U29"/>
    <mergeCell ref="V29:W29"/>
    <mergeCell ref="X29:Y29"/>
    <mergeCell ref="Z29:AA29"/>
  </mergeCells>
  <pageMargins left="0.708661417322835" right="0.708661417322835" top="0.748031496062992" bottom="0.748031496062992" header="0.31496062992126" footer="0.31496062992126"/>
  <pageSetup orientation="landscape" paperSize="9" scale="41" r:id="rId1"/>
  <customProperties>
    <customPr name="CUSTOMPROP:RWBOOKMARKNAME" r:id="rId2"/>
  </customPropertie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J49"/>
  <sheetViews>
    <sheetView showGridLines="0" workbookViewId="0" topLeftCell="B27"/>
  </sheetViews>
  <sheetFormatPr defaultRowHeight="14.5"/>
  <cols>
    <col min="1" max="1" width="3.54545454545455" hidden="1" customWidth="1"/>
    <col min="2" max="2" width="2.72727272727273" customWidth="1"/>
    <col min="3" max="3" width="6" style="76" customWidth="1"/>
    <col min="4" max="4" width="11.7272727272727" hidden="1" customWidth="1"/>
    <col min="5" max="5" width="33.7272727272727" customWidth="1"/>
    <col min="6" max="6" width="14" customWidth="1"/>
    <col min="7" max="7" width="15.7272727272727" customWidth="1"/>
    <col min="8" max="8" width="15.7272727272727" style="76" customWidth="1"/>
    <col min="9" max="9" width="15.7272727272727" customWidth="1"/>
    <col min="10" max="10" width="15.7272727272727" style="76" customWidth="1"/>
  </cols>
  <sheetData>
    <row r="1" spans="1:10" ht="14.5" hidden="1">
      <c r="A1" t="s">
        <v>12</v>
      </c>
      <c r="F1" s="222"/>
      <c r="H1"/>
      <c r="J1"/>
    </row>
    <row r="2" spans="1:10" ht="14.5" hidden="1">
      <c r="A2">
        <f>0</f>
        <v>0</v>
      </c>
      <c r="C2" s="77"/>
      <c r="E2" s="38"/>
      <c r="F2" s="223"/>
      <c r="G2" s="244"/>
      <c r="H2" s="244"/>
      <c r="I2" s="227"/>
      <c r="J2" s="244"/>
    </row>
    <row r="3" spans="1:10" ht="14.5" hidden="1">
      <c r="A3">
        <f>1</f>
        <v>1</v>
      </c>
      <c r="C3" s="77"/>
      <c r="E3" s="38"/>
      <c r="F3" s="223"/>
      <c r="G3" s="244"/>
      <c r="H3" s="244"/>
      <c r="I3" s="227"/>
      <c r="J3" s="244"/>
    </row>
    <row r="4" spans="1:10" ht="14.5" hidden="1">
      <c r="A4">
        <f>2</f>
        <v>2</v>
      </c>
      <c r="C4" s="77"/>
      <c r="E4" s="38"/>
      <c r="F4" s="223"/>
      <c r="G4" s="244"/>
      <c r="H4" s="244"/>
      <c r="I4" s="227"/>
      <c r="J4" s="244"/>
    </row>
    <row r="5" spans="1:10" ht="14.5" hidden="1">
      <c r="A5">
        <f>3</f>
        <v>3</v>
      </c>
      <c r="C5" s="77"/>
      <c r="E5" s="38"/>
      <c r="F5" s="223"/>
      <c r="G5" s="244"/>
      <c r="H5" s="244"/>
      <c r="I5" s="227"/>
      <c r="J5" s="244"/>
    </row>
    <row r="6" spans="1:10" ht="14.5" hidden="1">
      <c r="A6" t="s">
        <v>10</v>
      </c>
      <c r="C6" s="77"/>
      <c r="E6" s="38"/>
      <c r="F6" s="223"/>
      <c r="G6" s="244"/>
      <c r="H6" s="244"/>
      <c r="I6" s="227"/>
      <c r="J6" s="244"/>
    </row>
    <row r="7" spans="1:10" ht="14.5" hidden="1">
      <c r="A7" t="s">
        <v>11</v>
      </c>
      <c r="C7" s="77"/>
      <c r="E7" s="38"/>
      <c r="F7" s="223"/>
      <c r="G7" s="244"/>
      <c r="H7" s="226"/>
      <c r="I7" s="227"/>
      <c r="J7" s="226"/>
    </row>
    <row r="8" spans="1:10" ht="14.5" hidden="1">
      <c r="A8" t="s">
        <v>106</v>
      </c>
      <c r="C8" s="144"/>
      <c r="D8" s="117"/>
      <c r="E8" s="145"/>
      <c r="F8" s="224"/>
      <c r="G8" s="245"/>
      <c r="H8" s="229"/>
      <c r="I8" s="230"/>
      <c r="J8" s="229"/>
    </row>
    <row r="9" spans="1:10" ht="14.5" hidden="1">
      <c r="A9" t="s">
        <v>13</v>
      </c>
      <c r="H9"/>
      <c r="J9"/>
    </row>
    <row r="10" spans="4:6" ht="14.5" hidden="1">
      <c r="D10" s="18" t="s">
        <v>417</v>
      </c>
      <c r="E10" s="18"/>
      <c r="F10" s="1"/>
    </row>
    <row r="11" spans="4:6" ht="14.5" hidden="1">
      <c r="D11" s="18" t="s">
        <v>58</v>
      </c>
      <c r="E11" s="18" t="s">
        <v>418</v>
      </c>
      <c r="F11" s="1"/>
    </row>
    <row r="12" spans="4:6" ht="14.5" hidden="1">
      <c r="D12" s="18" t="s">
        <v>0</v>
      </c>
      <c r="E12" s="18" t="s">
        <v>152</v>
      </c>
      <c r="F12" s="1"/>
    </row>
    <row r="13" spans="4:6" ht="14.5" hidden="1">
      <c r="D13" s="18" t="s">
        <v>1</v>
      </c>
      <c r="E13" s="18" t="s">
        <v>246</v>
      </c>
      <c r="F13" s="1"/>
    </row>
    <row r="14" spans="4:9" ht="14.5" hidden="1">
      <c r="D14" s="18" t="s">
        <v>17</v>
      </c>
      <c r="E14" s="18" t="str">
        <f ca="1">Master!A25</f>
        <v>YTD 2025.M12</v>
      </c>
      <c r="F14" s="41"/>
      <c r="G14" s="41"/>
      <c r="H14" s="85" t="str">
        <f ca="1">MID(E14,5,8)</f>
        <v>2025.M12</v>
      </c>
      <c r="I14" s="18" t="s">
        <v>268</v>
      </c>
    </row>
    <row r="15" spans="4:9" ht="14.5" hidden="1">
      <c r="D15" s="18" t="s">
        <v>50</v>
      </c>
      <c r="E15" s="18" t="s">
        <v>8</v>
      </c>
      <c r="F15" s="1"/>
      <c r="I15" s="18" t="str">
        <f ca="1">MID(E14,5,4)</f>
        <v>2025</v>
      </c>
    </row>
    <row r="16" spans="4:6" ht="14.5" hidden="1">
      <c r="D16" s="18" t="s">
        <v>21</v>
      </c>
      <c r="E16" s="18" t="s">
        <v>271</v>
      </c>
      <c r="F16" s="1"/>
    </row>
    <row r="17" spans="4:6" ht="14.5" hidden="1">
      <c r="D17" s="18" t="s">
        <v>4</v>
      </c>
      <c r="E17" s="18" t="s">
        <v>273</v>
      </c>
      <c r="F17" s="1"/>
    </row>
    <row r="18" spans="4:6" ht="14.5" hidden="1">
      <c r="D18" s="18" t="s">
        <v>3</v>
      </c>
      <c r="E18" s="18" t="s">
        <v>276</v>
      </c>
      <c r="F18" s="1"/>
    </row>
    <row r="19" spans="4:6" ht="15.75" customHeight="1" hidden="1">
      <c r="D19" s="18" t="s">
        <v>6</v>
      </c>
      <c r="E19" s="18" t="str">
        <f ca="1">Master!A24</f>
        <v>MERCI</v>
      </c>
      <c r="F19" s="1"/>
    </row>
    <row r="20" spans="4:6" ht="14.5" hidden="1">
      <c r="D20" s="18" t="s">
        <v>7</v>
      </c>
      <c r="E20" s="18" t="s">
        <v>133</v>
      </c>
      <c r="F20" s="1"/>
    </row>
    <row r="21" spans="4:4" ht="9.75" customHeight="1">
      <c r="D21" s="1"/>
    </row>
    <row r="22" spans="3:10" ht="14.5">
      <c r="C22" s="99" t="s">
        <v>59</v>
      </c>
      <c r="D22" s="6"/>
      <c r="E22" s="6"/>
      <c r="F22" s="6"/>
      <c r="G22" s="6"/>
      <c r="H22" s="7"/>
      <c r="I22" s="6"/>
      <c r="J22" s="7" t="str">
        <f ca="1">E19</f>
        <v>MERCI</v>
      </c>
    </row>
    <row r="23" spans="3:10" ht="14.5">
      <c r="C23" s="183" t="s">
        <v>60</v>
      </c>
      <c r="D23" s="39"/>
      <c r="E23" s="39"/>
      <c r="F23" s="39"/>
      <c r="G23" s="39"/>
      <c r="H23" s="78"/>
      <c r="J23" s="52" t="str">
        <f ca="1">$I$14&amp;" "&amp;$I$15</f>
        <v>December 2025</v>
      </c>
    </row>
    <row r="24" spans="3:10" ht="14.5">
      <c r="C24" s="78"/>
      <c r="D24" s="39"/>
      <c r="E24" s="39"/>
      <c r="F24" s="39"/>
      <c r="G24" s="39"/>
      <c r="H24" s="78"/>
      <c r="I24" s="39"/>
      <c r="J24" s="78"/>
    </row>
    <row r="25" spans="3:10" ht="29">
      <c r="C25" s="79" t="s">
        <v>52</v>
      </c>
      <c r="D25" s="75"/>
      <c r="E25" s="75" t="s">
        <v>53</v>
      </c>
      <c r="F25" s="75" t="s">
        <v>70</v>
      </c>
      <c r="G25" s="82" t="s">
        <v>54</v>
      </c>
      <c r="H25" s="82" t="s">
        <v>55</v>
      </c>
      <c r="I25" s="82" t="s">
        <v>56</v>
      </c>
      <c r="J25" s="83" t="s">
        <v>57</v>
      </c>
    </row>
    <row r="26" spans="3:10" ht="14.5" hidden="1">
      <c r="C26" s="80"/>
      <c r="D26" s="19"/>
      <c r="E26" s="19"/>
      <c r="F26" s="19"/>
      <c r="G26" s="42" t="s">
        <v>49</v>
      </c>
      <c r="H26" s="42" t="s">
        <v>72</v>
      </c>
      <c r="I26" s="42" t="s">
        <v>45</v>
      </c>
      <c r="J26" s="84" t="s">
        <v>74</v>
      </c>
    </row>
    <row r="27" spans="3:10" ht="14.5">
      <c r="C27" s="81"/>
      <c r="D27" s="36"/>
      <c r="E27" s="37" t="s">
        <v>51</v>
      </c>
      <c r="F27" s="37"/>
      <c r="G27" s="242">
        <f ca="1">SUM($G$28:$G$103)</f>
        <v>46252</v>
      </c>
      <c r="H27" s="243">
        <f ca="1">SUM($H$28:$H$103)</f>
        <v>0.98620439668223192</v>
      </c>
      <c r="I27" s="241">
        <f ca="1">SUM($I$28:$I$103)</f>
        <v>517830.54000000004</v>
      </c>
      <c r="J27" s="240">
        <f ca="1">SUM($J$28:$J$103)</f>
        <v>0.9703227663833307</v>
      </c>
    </row>
    <row r="28" spans="1:10" ht="14.5">
      <c r="A28" t="s">
        <v>11</v>
      </c>
      <c r="C28" s="77">
        <f>C27+1</f>
        <v>1</v>
      </c>
      <c r="D28" t="s">
        <v>419</v>
      </c>
      <c r="E28" s="38" t="s">
        <v>420</v>
      </c>
      <c r="F28" s="223" t="s">
        <v>421</v>
      </c>
      <c r="G28" s="244">
        <v>17741</v>
      </c>
      <c r="H28" s="226">
        <v>0.37828098680142436</v>
      </c>
      <c r="I28" s="227">
        <v>232316.88999999998</v>
      </c>
      <c r="J28" s="226">
        <v>0.43532072747654466</v>
      </c>
    </row>
    <row r="29" spans="1:10" ht="14.5">
      <c r="A29" t="s">
        <v>11</v>
      </c>
      <c r="C29" s="77">
        <f>C28+1</f>
        <v>2</v>
      </c>
      <c r="D29" t="s">
        <v>353</v>
      </c>
      <c r="E29" s="38" t="s">
        <v>422</v>
      </c>
      <c r="F29" s="223" t="s">
        <v>423</v>
      </c>
      <c r="G29" s="244">
        <v>6093</v>
      </c>
      <c r="H29" s="226">
        <v>0.12991748224908847</v>
      </c>
      <c r="I29" s="227">
        <v>32407.090000000004</v>
      </c>
      <c r="J29" s="226">
        <v>0.060725150006088059</v>
      </c>
    </row>
    <row r="30" spans="1:10" ht="14.5">
      <c r="A30" t="s">
        <v>11</v>
      </c>
      <c r="C30" s="77">
        <f>C29+1</f>
        <v>3</v>
      </c>
      <c r="D30" t="s">
        <v>354</v>
      </c>
      <c r="E30" s="38" t="s">
        <v>424</v>
      </c>
      <c r="F30" s="223" t="s">
        <v>425</v>
      </c>
      <c r="G30" s="244">
        <v>4165</v>
      </c>
      <c r="H30" s="226">
        <v>0.088807863707115284</v>
      </c>
      <c r="I30" s="227">
        <v>21409.699999999997</v>
      </c>
      <c r="J30" s="226">
        <v>0.040117987887383383</v>
      </c>
    </row>
    <row r="31" spans="1:10" ht="14.5">
      <c r="A31" t="s">
        <v>11</v>
      </c>
      <c r="C31" s="77">
        <f>C30+1</f>
        <v>4</v>
      </c>
      <c r="D31" t="s">
        <v>355</v>
      </c>
      <c r="E31" s="38" t="s">
        <v>426</v>
      </c>
      <c r="F31" s="223" t="s">
        <v>427</v>
      </c>
      <c r="G31" s="244">
        <v>2737</v>
      </c>
      <c r="H31" s="226">
        <v>0.058359453293247189</v>
      </c>
      <c r="I31" s="227">
        <v>40239.170000000006</v>
      </c>
      <c r="J31" s="226">
        <v>0.075401081503167322</v>
      </c>
    </row>
    <row r="32" spans="1:10" ht="14.5">
      <c r="A32" t="s">
        <v>11</v>
      </c>
      <c r="C32" s="77">
        <f>C31+1</f>
        <v>5</v>
      </c>
      <c r="D32" t="s">
        <v>356</v>
      </c>
      <c r="E32" s="38" t="s">
        <v>428</v>
      </c>
      <c r="F32" s="223" t="s">
        <v>429</v>
      </c>
      <c r="G32" s="244">
        <v>2348</v>
      </c>
      <c r="H32" s="226">
        <v>0.050065033369581444</v>
      </c>
      <c r="I32" s="227">
        <v>11986.43</v>
      </c>
      <c r="J32" s="226">
        <v>0.022460448000344187</v>
      </c>
    </row>
    <row r="33" spans="1:10" ht="14.5">
      <c r="A33" t="s">
        <v>11</v>
      </c>
      <c r="C33" s="77">
        <f>C32+1</f>
        <v>6</v>
      </c>
      <c r="D33" t="s">
        <v>357</v>
      </c>
      <c r="E33" s="38" t="s">
        <v>430</v>
      </c>
      <c r="F33" s="223" t="s">
        <v>431</v>
      </c>
      <c r="G33" s="244">
        <v>2297</v>
      </c>
      <c r="H33" s="226">
        <v>0.048977590140514726</v>
      </c>
      <c r="I33" s="227">
        <v>12374.429999999998</v>
      </c>
      <c r="J33" s="226">
        <v>0.023187491317172758</v>
      </c>
    </row>
    <row r="34" spans="1:10" ht="14.5">
      <c r="A34" t="s">
        <v>11</v>
      </c>
      <c r="C34" s="77">
        <f>C33+1</f>
        <v>7</v>
      </c>
      <c r="D34" t="s">
        <v>358</v>
      </c>
      <c r="E34" s="38" t="s">
        <v>432</v>
      </c>
      <c r="F34" s="223" t="s">
        <v>433</v>
      </c>
      <c r="G34" s="244">
        <v>1910</v>
      </c>
      <c r="H34" s="226">
        <v>0.040725815049361395</v>
      </c>
      <c r="I34" s="227">
        <v>31395.379999999997</v>
      </c>
      <c r="J34" s="226">
        <v>0.058829384557457537</v>
      </c>
    </row>
    <row r="35" spans="1:10" ht="14.5">
      <c r="A35" t="s">
        <v>11</v>
      </c>
      <c r="C35" s="77">
        <f>C34+1</f>
        <v>8</v>
      </c>
      <c r="D35" t="s">
        <v>359</v>
      </c>
      <c r="E35" s="38" t="s">
        <v>434</v>
      </c>
      <c r="F35" s="223" t="s">
        <v>435</v>
      </c>
      <c r="G35" s="244">
        <v>1828</v>
      </c>
      <c r="H35" s="226">
        <v>0.038977376916352162</v>
      </c>
      <c r="I35" s="227">
        <v>30243.219999999998</v>
      </c>
      <c r="J35" s="226">
        <v>0.056670440671072971</v>
      </c>
    </row>
    <row r="36" spans="1:10" ht="14.5">
      <c r="A36" t="s">
        <v>11</v>
      </c>
      <c r="C36" s="77">
        <f>C35+1</f>
        <v>9</v>
      </c>
      <c r="D36" t="s">
        <v>360</v>
      </c>
      <c r="E36" s="38" t="s">
        <v>436</v>
      </c>
      <c r="F36" s="223" t="s">
        <v>437</v>
      </c>
      <c r="G36" s="244">
        <v>1794</v>
      </c>
      <c r="H36" s="226">
        <v>0.038252414763641017</v>
      </c>
      <c r="I36" s="227">
        <v>9323.0900000000001</v>
      </c>
      <c r="J36" s="226">
        <v>0.017469820300750838</v>
      </c>
    </row>
    <row r="37" spans="1:10" ht="14.5">
      <c r="A37" t="s">
        <v>11</v>
      </c>
      <c r="C37" s="77">
        <f>C36+1</f>
        <v>10</v>
      </c>
      <c r="D37" t="s">
        <v>361</v>
      </c>
      <c r="E37" s="38" t="s">
        <v>438</v>
      </c>
      <c r="F37" s="223" t="s">
        <v>439</v>
      </c>
      <c r="G37" s="244">
        <v>1155</v>
      </c>
      <c r="H37" s="226">
        <v>0.024627390775922728</v>
      </c>
      <c r="I37" s="227">
        <v>19445.75</v>
      </c>
      <c r="J37" s="226">
        <v>0.036437893242833183</v>
      </c>
    </row>
    <row r="38" spans="1:10" ht="14.5">
      <c r="A38" t="s">
        <v>11</v>
      </c>
      <c r="C38" s="77">
        <f>C37+1</f>
        <v>11</v>
      </c>
      <c r="D38" t="s">
        <v>362</v>
      </c>
      <c r="E38" s="38" t="s">
        <v>440</v>
      </c>
      <c r="F38" s="223" t="s">
        <v>441</v>
      </c>
      <c r="G38" s="244">
        <v>1073</v>
      </c>
      <c r="H38" s="226">
        <v>0.022878952642913494</v>
      </c>
      <c r="I38" s="227">
        <v>18074.559999999998</v>
      </c>
      <c r="J38" s="226">
        <v>0.033868525908806957</v>
      </c>
    </row>
    <row r="39" spans="1:10" ht="14.5">
      <c r="A39" t="s">
        <v>11</v>
      </c>
      <c r="C39" s="77">
        <f>C38+1</f>
        <v>12</v>
      </c>
      <c r="D39" t="s">
        <v>363</v>
      </c>
      <c r="E39" s="38" t="s">
        <v>442</v>
      </c>
      <c r="F39" s="223" t="s">
        <v>443</v>
      </c>
      <c r="G39" s="244">
        <v>557</v>
      </c>
      <c r="H39" s="226">
        <v>0.011876585854709056</v>
      </c>
      <c r="I39" s="227">
        <v>9947.1800000000003</v>
      </c>
      <c r="J39" s="226">
        <v>0.01863925448528575</v>
      </c>
    </row>
    <row r="40" spans="1:10" ht="14.5">
      <c r="A40" t="s">
        <v>11</v>
      </c>
      <c r="C40" s="77">
        <f>C39+1</f>
        <v>13</v>
      </c>
      <c r="D40" t="s">
        <v>364</v>
      </c>
      <c r="E40" s="38" t="s">
        <v>444</v>
      </c>
      <c r="F40" s="223" t="s">
        <v>445</v>
      </c>
      <c r="G40" s="244">
        <v>481</v>
      </c>
      <c r="H40" s="226">
        <v>0.010256082219237085</v>
      </c>
      <c r="I40" s="227">
        <v>13341.919999999998</v>
      </c>
      <c r="J40" s="226">
        <v>0.025000396313560588</v>
      </c>
    </row>
    <row r="41" spans="1:10" ht="14.5">
      <c r="A41" t="s">
        <v>11</v>
      </c>
      <c r="C41" s="77">
        <f>C40+1</f>
        <v>14</v>
      </c>
      <c r="D41" t="s">
        <v>365</v>
      </c>
      <c r="E41" s="38" t="s">
        <v>446</v>
      </c>
      <c r="F41" s="223" t="s">
        <v>447</v>
      </c>
      <c r="G41" s="244">
        <v>479</v>
      </c>
      <c r="H41" s="226">
        <v>0.010213437386724663</v>
      </c>
      <c r="I41" s="227">
        <v>13366.699999999999</v>
      </c>
      <c r="J41" s="226">
        <v>0.025046829647042579</v>
      </c>
    </row>
    <row r="42" spans="1:10" ht="14.5">
      <c r="A42" t="s">
        <v>11</v>
      </c>
      <c r="C42" s="77">
        <f>C41+1</f>
        <v>15</v>
      </c>
      <c r="D42" t="s">
        <v>366</v>
      </c>
      <c r="E42" s="38" t="s">
        <v>448</v>
      </c>
      <c r="F42" s="223" t="s">
        <v>449</v>
      </c>
      <c r="G42" s="244">
        <v>403</v>
      </c>
      <c r="H42" s="226">
        <v>0.0085929337512526925</v>
      </c>
      <c r="I42" s="227">
        <v>2406</v>
      </c>
      <c r="J42" s="226">
        <v>0.0045084180935297761</v>
      </c>
    </row>
    <row r="43" spans="1:10" ht="14.5">
      <c r="A43" t="s">
        <v>11</v>
      </c>
      <c r="C43" s="77">
        <f>C42+1</f>
        <v>16</v>
      </c>
      <c r="D43" t="s">
        <v>367</v>
      </c>
      <c r="E43" s="38" t="s">
        <v>450</v>
      </c>
      <c r="F43" s="223" t="s">
        <v>451</v>
      </c>
      <c r="G43" s="244">
        <v>293</v>
      </c>
      <c r="H43" s="226">
        <v>0.0062474679630695751</v>
      </c>
      <c r="I43" s="227">
        <v>1753.2</v>
      </c>
      <c r="J43" s="226">
        <v>0.0032851864511955126</v>
      </c>
    </row>
    <row r="44" spans="1:10" ht="14.5">
      <c r="A44" t="s">
        <v>11</v>
      </c>
      <c r="C44" s="77">
        <f>C43+1</f>
        <v>17</v>
      </c>
      <c r="D44" t="s">
        <v>368</v>
      </c>
      <c r="E44" s="38" t="s">
        <v>452</v>
      </c>
      <c r="F44" s="223" t="s">
        <v>453</v>
      </c>
      <c r="G44" s="244">
        <v>243</v>
      </c>
      <c r="H44" s="226">
        <v>0.0051813471502590676</v>
      </c>
      <c r="I44" s="227">
        <v>6830.8900000000012</v>
      </c>
      <c r="J44" s="226">
        <v>0.012799878666214303</v>
      </c>
    </row>
    <row r="45" spans="1:10" ht="14.5">
      <c r="A45" t="s">
        <v>11</v>
      </c>
      <c r="C45" s="77">
        <f>C44+1</f>
        <v>18</v>
      </c>
      <c r="D45" t="s">
        <v>369</v>
      </c>
      <c r="E45" s="38" t="s">
        <v>454</v>
      </c>
      <c r="F45" s="223" t="s">
        <v>455</v>
      </c>
      <c r="G45" s="244">
        <v>241</v>
      </c>
      <c r="H45" s="226">
        <v>0.0051387023177466469</v>
      </c>
      <c r="I45" s="227">
        <v>1441.2</v>
      </c>
      <c r="J45" s="226">
        <v>0.002700553680962225</v>
      </c>
    </row>
    <row r="46" spans="1:10" ht="14.5">
      <c r="A46" t="s">
        <v>11</v>
      </c>
      <c r="C46" s="77">
        <f>C45+1</f>
        <v>19</v>
      </c>
      <c r="D46" t="s">
        <v>370</v>
      </c>
      <c r="E46" s="38" t="s">
        <v>456</v>
      </c>
      <c r="F46" s="223" t="s">
        <v>457</v>
      </c>
      <c r="G46" s="244">
        <v>207</v>
      </c>
      <c r="H46" s="226">
        <v>0.004413740165035502</v>
      </c>
      <c r="I46" s="227">
        <v>3700.0300000000002</v>
      </c>
      <c r="J46" s="226">
        <v>0.0069332012463021514</v>
      </c>
    </row>
    <row r="47" spans="1:10" ht="14.5">
      <c r="A47" t="s">
        <v>106</v>
      </c>
      <c r="C47" s="77">
        <f>C46+1</f>
        <v>20</v>
      </c>
      <c r="D47" s="117" t="s">
        <v>371</v>
      </c>
      <c r="E47" s="145" t="s">
        <v>458</v>
      </c>
      <c r="F47" s="224" t="s">
        <v>459</v>
      </c>
      <c r="G47" s="245">
        <v>207</v>
      </c>
      <c r="H47" s="229">
        <v>0.004413740165035502</v>
      </c>
      <c r="I47" s="230">
        <v>5827.71</v>
      </c>
      <c r="J47" s="229">
        <v>0.01092009692761613</v>
      </c>
    </row>
    <row r="48" spans="3:10" ht="15">
      <c r="C48"/>
      <c r="H48"/>
      <c r="J48"/>
    </row>
    <row r="49" spans="3:10" ht="15">
      <c r="C49"/>
      <c r="H49"/>
      <c r="J49"/>
    </row>
    <row r="50" s="0" customFormat="1" ht="15"/>
    <row r="51" s="0" customFormat="1" ht="15"/>
    <row r="52" s="0" customFormat="1" ht="15"/>
    <row r="53" s="0" customFormat="1" ht="15"/>
    <row r="54" s="0" customFormat="1" ht="15"/>
    <row r="55" s="0" customFormat="1" ht="15"/>
    <row r="56" s="0" customFormat="1" ht="15"/>
    <row r="57" s="0" customFormat="1" ht="15"/>
    <row r="58" s="0" customFormat="1" ht="15"/>
    <row r="59" s="0" customFormat="1" ht="15"/>
    <row r="60" s="0" customFormat="1" ht="15"/>
    <row r="61" s="0" customFormat="1" ht="15"/>
    <row r="62" s="0" customFormat="1" ht="15"/>
    <row r="63" s="0" customFormat="1" ht="15"/>
    <row r="64" s="0" customFormat="1" ht="15"/>
    <row r="65" s="0" customFormat="1" ht="15"/>
    <row r="66" s="0" customFormat="1" ht="15"/>
    <row r="67" s="0" customFormat="1" ht="15"/>
    <row r="68" s="0" customFormat="1" ht="15"/>
    <row r="69" s="0" customFormat="1" ht="15"/>
    <row r="70" s="0" customFormat="1" ht="15"/>
    <row r="71" s="0" customFormat="1" ht="15"/>
    <row r="72" s="0" customFormat="1" ht="15"/>
    <row r="73" s="0" customFormat="1" ht="15"/>
    <row r="74" s="0" customFormat="1" ht="15"/>
    <row r="75" s="0" customFormat="1" ht="15"/>
    <row r="76" s="0" customFormat="1" ht="15"/>
    <row r="77" s="0" customFormat="1" ht="15"/>
    <row r="78" s="0" customFormat="1" ht="15"/>
    <row r="79" s="0" customFormat="1" ht="15"/>
    <row r="80" s="0" customFormat="1" ht="15"/>
    <row r="81" s="0" customFormat="1" ht="15"/>
    <row r="82" s="0" customFormat="1" ht="15"/>
    <row r="83" s="0" customFormat="1" ht="15"/>
    <row r="84" s="0" customFormat="1" ht="15"/>
  </sheetData>
  <pageMargins left="0.708661417322835" right="0.708661417322835" top="0.748031496062992" bottom="0.748031496062992" header="0.31496062992126" footer="0.31496062992126"/>
  <pageSetup orientation="landscape" paperSize="9" r:id="rId1"/>
  <customProperties>
    <customPr name="CUSTOMPROP:RWBOOKMARKNAME" r:id="rId2"/>
  </customPropertie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L32"/>
  <sheetViews>
    <sheetView showGridLines="0" workbookViewId="0" topLeftCell="D24">
      <selection pane="topLeft" activeCell="D24" sqref="D24"/>
    </sheetView>
  </sheetViews>
  <sheetFormatPr defaultRowHeight="14.5"/>
  <cols>
    <col min="1" max="1" width="5.45454545454545" hidden="1" customWidth="1"/>
    <col min="2" max="2" width="14" hidden="1" customWidth="1"/>
    <col min="3" max="3" width="5.54545454545455" hidden="1" customWidth="1"/>
    <col min="4" max="4" width="1.45454545454545" customWidth="1"/>
    <col min="5" max="7" width="15.7272727272727" customWidth="1"/>
    <col min="8" max="8" width="40.7272727272727" customWidth="1"/>
    <col min="9" max="12" width="15.7272727272727" customWidth="1"/>
  </cols>
  <sheetData>
    <row r="1" spans="1:7" ht="14.5" hidden="1">
      <c r="A1" t="s">
        <v>12</v>
      </c>
      <c r="G1" s="222"/>
    </row>
    <row r="2" spans="1:12" ht="14.5" hidden="1">
      <c r="A2">
        <f>0</f>
        <v>0</v>
      </c>
      <c r="E2" s="38"/>
      <c r="F2" s="38"/>
      <c r="G2" s="223"/>
      <c r="H2" s="38"/>
      <c r="I2" s="63"/>
      <c r="J2" s="94"/>
      <c r="K2" s="64"/>
      <c r="L2" s="94"/>
    </row>
    <row r="3" spans="1:12" ht="14.5" hidden="1">
      <c r="A3">
        <f>1</f>
        <v>1</v>
      </c>
      <c r="E3" s="38"/>
      <c r="F3" s="38"/>
      <c r="G3" s="223"/>
      <c r="H3" s="38"/>
      <c r="I3" s="63"/>
      <c r="J3" s="94"/>
      <c r="K3" s="64"/>
      <c r="L3" s="94"/>
    </row>
    <row r="4" spans="1:12" ht="14.5" hidden="1">
      <c r="A4">
        <f>2</f>
        <v>2</v>
      </c>
      <c r="E4" s="38"/>
      <c r="F4" s="38"/>
      <c r="G4" s="223"/>
      <c r="H4" s="38"/>
      <c r="I4" s="63"/>
      <c r="J4" s="94"/>
      <c r="K4" s="64"/>
      <c r="L4" s="94"/>
    </row>
    <row r="5" spans="1:12" ht="14.5" hidden="1">
      <c r="A5">
        <f>3</f>
        <v>3</v>
      </c>
      <c r="E5" s="38"/>
      <c r="F5" s="38"/>
      <c r="G5" s="223"/>
      <c r="H5" s="38"/>
      <c r="I5" s="63"/>
      <c r="J5" s="94"/>
      <c r="K5" s="64"/>
      <c r="L5" s="94"/>
    </row>
    <row r="6" spans="1:12" ht="14.5" hidden="1">
      <c r="A6" t="s">
        <v>10</v>
      </c>
      <c r="E6" s="38"/>
      <c r="F6" s="38"/>
      <c r="G6" s="223"/>
      <c r="H6" s="38"/>
      <c r="I6" s="63"/>
      <c r="J6" s="94"/>
      <c r="K6" s="64"/>
      <c r="L6" s="94"/>
    </row>
    <row r="7" spans="1:12" ht="14.5" hidden="1">
      <c r="A7" t="s">
        <v>11</v>
      </c>
      <c r="C7" s="191"/>
      <c r="E7" s="38"/>
      <c r="F7" s="192"/>
      <c r="G7" s="223"/>
      <c r="H7" s="38"/>
      <c r="I7" s="225"/>
      <c r="J7" s="226"/>
      <c r="K7" s="227"/>
      <c r="L7" s="226"/>
    </row>
    <row r="8" spans="1:12" ht="14.5" hidden="1">
      <c r="A8" t="s">
        <v>106</v>
      </c>
      <c r="E8" s="145"/>
      <c r="F8" s="193"/>
      <c r="G8" s="224"/>
      <c r="H8" s="145"/>
      <c r="I8" s="228"/>
      <c r="J8" s="229"/>
      <c r="K8" s="230"/>
      <c r="L8" s="229"/>
    </row>
    <row r="9" spans="1:1" ht="14.5" hidden="1">
      <c r="A9" t="s">
        <v>13</v>
      </c>
    </row>
    <row r="10" spans="2:2" ht="14.5" hidden="1">
      <c r="B10" t="s">
        <v>460</v>
      </c>
    </row>
    <row r="11" spans="2:7" ht="14.5" hidden="1">
      <c r="B11" s="18" t="s">
        <v>83</v>
      </c>
      <c r="C11" s="18" t="s">
        <v>461</v>
      </c>
      <c r="D11" s="97"/>
      <c r="E11" s="97"/>
      <c r="F11" s="1"/>
      <c r="G11" s="1"/>
    </row>
    <row r="12" spans="2:7" ht="14.5" hidden="1">
      <c r="B12" s="18" t="s">
        <v>0</v>
      </c>
      <c r="C12" s="18" t="s">
        <v>152</v>
      </c>
      <c r="D12" s="97"/>
      <c r="E12" s="97"/>
      <c r="F12" s="1"/>
      <c r="G12" s="1"/>
    </row>
    <row r="13" spans="2:7" ht="14.5" hidden="1">
      <c r="B13" s="18" t="s">
        <v>1</v>
      </c>
      <c r="C13" s="18" t="s">
        <v>246</v>
      </c>
      <c r="D13" s="97"/>
      <c r="E13" s="97"/>
      <c r="F13" s="1"/>
      <c r="G13" s="1"/>
    </row>
    <row r="14" spans="2:7" ht="14.5" hidden="1">
      <c r="B14" s="18" t="s">
        <v>17</v>
      </c>
      <c r="C14" s="18" t="str">
        <f ca="1">Master!A25</f>
        <v>YTD 2025.M12</v>
      </c>
      <c r="D14" s="58"/>
      <c r="E14" s="58" t="str">
        <f ca="1">MID(C14,5,8)</f>
        <v>2025.M12</v>
      </c>
      <c r="F14" s="18" t="s">
        <v>268</v>
      </c>
      <c r="G14" s="1"/>
    </row>
    <row r="15" spans="2:7" ht="14.5" hidden="1">
      <c r="B15" s="18" t="s">
        <v>50</v>
      </c>
      <c r="C15" s="18" t="s">
        <v>8</v>
      </c>
      <c r="D15" s="97"/>
      <c r="E15" s="97"/>
      <c r="F15" s="18" t="str">
        <f ca="1">MID(C14,5,4)</f>
        <v>2025</v>
      </c>
      <c r="G15" s="1"/>
    </row>
    <row r="16" spans="2:7" ht="14.5" hidden="1">
      <c r="B16" s="18" t="s">
        <v>21</v>
      </c>
      <c r="C16" s="18" t="s">
        <v>271</v>
      </c>
      <c r="D16" s="97"/>
      <c r="E16" s="97"/>
      <c r="F16" s="1"/>
      <c r="G16" s="1"/>
    </row>
    <row r="17" spans="2:7" ht="14.5" hidden="1">
      <c r="B17" s="18" t="s">
        <v>4</v>
      </c>
      <c r="C17" s="18" t="s">
        <v>273</v>
      </c>
      <c r="D17" s="97"/>
      <c r="E17" s="97"/>
      <c r="F17" s="1"/>
      <c r="G17" s="1"/>
    </row>
    <row r="18" spans="2:7" ht="14.5" hidden="1">
      <c r="B18" s="18" t="s">
        <v>3</v>
      </c>
      <c r="C18" s="18" t="s">
        <v>276</v>
      </c>
      <c r="D18" s="97"/>
      <c r="E18" s="97"/>
      <c r="F18" s="1"/>
      <c r="G18" s="1"/>
    </row>
    <row r="19" spans="2:7" ht="14.5" hidden="1">
      <c r="B19" s="18" t="s">
        <v>6</v>
      </c>
      <c r="C19" s="18" t="str">
        <f ca="1">Master!A24</f>
        <v>MERCI</v>
      </c>
      <c r="D19" s="97"/>
      <c r="E19" s="97"/>
      <c r="F19" s="1"/>
      <c r="G19" s="1"/>
    </row>
    <row r="20" spans="2:7" ht="14.5" hidden="1">
      <c r="B20" s="18" t="s">
        <v>7</v>
      </c>
      <c r="C20" s="18" t="s">
        <v>133</v>
      </c>
      <c r="D20" s="97"/>
      <c r="E20" s="97"/>
      <c r="F20" s="1"/>
      <c r="G20" s="1"/>
    </row>
    <row r="21" spans="2:8" ht="14.5" hidden="1">
      <c r="B21" s="1"/>
      <c r="C21" s="1"/>
      <c r="D21" s="1"/>
      <c r="E21" s="1"/>
      <c r="F21" s="190" t="str">
        <f ca="1">C32</f>
        <v/>
      </c>
      <c r="G21" s="190"/>
      <c r="H21" s="1"/>
    </row>
    <row r="22" spans="2:8" ht="14.5" hidden="1">
      <c r="B22" t="str">
        <f ca="1">"{TM1FILTERBYPATTERN({FILTER({TM1DRILLDOWNMEMBER({[Item].[All Item]},ALL,RECURSIVE)},[Item].[Launch Month]='"&amp;$E$14&amp;"')}, "&amp;"'I-*'"&amp;")}"</f>
        <v>{TM1FILTERBYPATTERN({FILTER({TM1DRILLDOWNMEMBER({[Item].[All Item]},ALL,RECURSIVE)},[Item].[Launch Month]='2025.M12')}, 'I-*')}</v>
      </c>
      <c r="E22" s="1"/>
      <c r="F22" s="1"/>
      <c r="G22" s="1"/>
      <c r="H22" s="1"/>
    </row>
    <row r="23" spans="2:8" ht="14.5" hidden="1">
      <c r="B23" s="1"/>
      <c r="C23" s="1"/>
      <c r="D23" s="1"/>
      <c r="E23" s="1"/>
      <c r="F23" s="1"/>
      <c r="G23" s="1"/>
      <c r="H23" s="1"/>
    </row>
    <row r="24" spans="2:8" ht="14.5">
      <c r="B24" s="1"/>
      <c r="C24" s="1"/>
      <c r="D24" s="1"/>
      <c r="E24" s="1"/>
      <c r="F24" s="1"/>
      <c r="G24" s="1"/>
      <c r="H24" s="1"/>
    </row>
    <row r="25" spans="2:12" ht="14.5">
      <c r="B25" s="1"/>
      <c r="C25" s="1"/>
      <c r="D25" s="1"/>
      <c r="E25" s="6" t="s">
        <v>48</v>
      </c>
      <c r="F25" s="17"/>
      <c r="G25" s="17"/>
      <c r="H25" s="17"/>
      <c r="I25" s="17"/>
      <c r="J25" s="17"/>
      <c r="K25" s="17"/>
      <c r="L25" s="6" t="str">
        <f ca="1">C19</f>
        <v>MERCI</v>
      </c>
    </row>
    <row r="26" spans="2:12" ht="14.5">
      <c r="B26" s="1"/>
      <c r="C26" s="1"/>
      <c r="D26" s="1"/>
      <c r="E26" s="40" t="s">
        <v>112</v>
      </c>
      <c r="F26" s="62"/>
      <c r="G26" s="62"/>
      <c r="H26" s="62"/>
      <c r="I26" s="62"/>
      <c r="J26" s="62"/>
      <c r="K26" s="62"/>
      <c r="L26" s="40" t="str">
        <f ca="1">$F$14&amp;" "&amp;$F$15</f>
        <v>December 2025</v>
      </c>
    </row>
    <row r="28" spans="5:5" ht="14.5">
      <c r="E28" s="1" t="str">
        <f ca="1">"PERFORMANCE OF NEW ITEMS LAUNCHED IN "&amp;UPPER(L26)&amp;" (RANKED BY UNITS SOLD)"</f>
        <v>PERFORMANCE OF NEW ITEMS LAUNCHED IN DECEMBER 2025 (RANKED BY UNITS SOLD)</v>
      </c>
    </row>
    <row r="29" spans="9:12" ht="14.5" hidden="1">
      <c r="I29" s="98" t="s">
        <v>49</v>
      </c>
      <c r="J29" s="98" t="s">
        <v>74</v>
      </c>
      <c r="K29" s="98" t="s">
        <v>45</v>
      </c>
      <c r="L29" s="98" t="s">
        <v>72</v>
      </c>
    </row>
    <row r="30" spans="5:12" ht="29">
      <c r="E30" s="197" t="s">
        <v>84</v>
      </c>
      <c r="F30" s="198" t="s">
        <v>85</v>
      </c>
      <c r="G30" s="82" t="s">
        <v>70</v>
      </c>
      <c r="H30" s="198" t="s">
        <v>86</v>
      </c>
      <c r="I30" s="194" t="s">
        <v>54</v>
      </c>
      <c r="J30" s="195" t="s">
        <v>55</v>
      </c>
      <c r="K30" s="194" t="s">
        <v>56</v>
      </c>
      <c r="L30" s="196" t="s">
        <v>57</v>
      </c>
    </row>
    <row r="31" spans="5:12" ht="14.5">
      <c r="E31" s="37"/>
      <c r="F31" s="37"/>
      <c r="G31" s="37"/>
      <c r="H31" s="37" t="s">
        <v>111</v>
      </c>
      <c r="I31" s="136">
        <f ca="1">SUM($I$32:$I$222)</f>
        <v>0</v>
      </c>
      <c r="J31" s="134">
        <f ca="1">SUM($J$32:$J$222)</f>
        <v>0</v>
      </c>
      <c r="K31" s="135">
        <f ca="1">SUM($K$32:$GK$222)</f>
        <v>0</v>
      </c>
      <c r="L31" s="134">
        <f ca="1">SUM($L$32:$L$222)</f>
        <v>0</v>
      </c>
    </row>
    <row r="32" spans="1:12" ht="14.5">
      <c r="A32" t="s">
        <v>106</v>
      </c>
      <c r="B32" t="s">
        <v>462</v>
      </c>
      <c r="C32" t="s">
        <v>462</v>
      </c>
      <c r="E32" s="145" t="s">
        <v>462</v>
      </c>
      <c r="F32" s="193" t="str">
        <f ca="1">C32</f>
        <v/>
      </c>
      <c r="G32" s="224" t="s">
        <v>462</v>
      </c>
      <c r="H32" s="145" t="s">
        <v>462</v>
      </c>
      <c r="I32" s="228" t="s">
        <v>462</v>
      </c>
      <c r="J32" s="229" t="s">
        <v>462</v>
      </c>
      <c r="K32" s="230" t="s">
        <v>462</v>
      </c>
      <c r="L32" s="229" t="s">
        <v>462</v>
      </c>
    </row>
  </sheetData>
  <pageMargins left="0.708661417322835" right="0.708661417322835" top="0.748031496062992" bottom="0.748031496062992" header="0.31496062992126" footer="0.31496062992126"/>
  <pageSetup fitToHeight="20" orientation="landscape" paperSize="9" scale="86" r:id="rId1"/>
  <rowBreaks count="1" manualBreakCount="1">
    <brk id="26" max="16383" man="1"/>
  </rowBreaks>
  <colBreaks count="1" manualBreakCount="1">
    <brk id="12" max="1048575" man="1"/>
  </colBreaks>
  <customProperties>
    <customPr name="CUSTOMPROP:RWBOOKMARKNAME" r:id="rId2"/>
  </customPropertie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L43"/>
  <sheetViews>
    <sheetView showGridLines="0" workbookViewId="0" topLeftCell="A1">
      <pane ySplit="31" topLeftCell="A32" activePane="bottomLeft" state="frozen"/>
      <selection pane="topLeft" activeCell="D24" sqref="D24"/>
      <selection pane="bottomLeft" activeCell="A1" sqref="A1"/>
    </sheetView>
  </sheetViews>
  <sheetFormatPr defaultRowHeight="14.5"/>
  <cols>
    <col min="1" max="1" width="6.72727272727273" hidden="1" customWidth="1"/>
    <col min="2" max="2" width="4.81818181818182" hidden="1" customWidth="1"/>
    <col min="3" max="3" width="12.4545454545455" hidden="1" customWidth="1"/>
    <col min="4" max="4" width="1.72727272727273" customWidth="1"/>
    <col min="5" max="6" width="15.7272727272727" customWidth="1"/>
    <col min="7" max="7" width="13.2727272727273" style="222" customWidth="1"/>
    <col min="8" max="8" width="40.7272727272727" customWidth="1"/>
    <col min="9" max="12" width="15.7272727272727" customWidth="1"/>
  </cols>
  <sheetData>
    <row r="1" spans="1:1" ht="14.5" hidden="1">
      <c r="A1" t="s">
        <v>12</v>
      </c>
    </row>
    <row r="2" spans="1:12" ht="14.5" hidden="1">
      <c r="A2">
        <f>0</f>
        <v>0</v>
      </c>
      <c r="E2" s="38"/>
      <c r="F2" s="38"/>
      <c r="G2" s="223"/>
      <c r="H2" s="38"/>
      <c r="I2" s="225"/>
      <c r="J2" s="226"/>
      <c r="K2" s="227"/>
      <c r="L2" s="226"/>
    </row>
    <row r="3" spans="1:12" ht="14.5" hidden="1">
      <c r="A3">
        <f>1</f>
        <v>1</v>
      </c>
      <c r="E3" s="38"/>
      <c r="F3" s="38"/>
      <c r="G3" s="223"/>
      <c r="H3" s="38"/>
      <c r="I3" s="225"/>
      <c r="J3" s="226"/>
      <c r="K3" s="227"/>
      <c r="L3" s="226"/>
    </row>
    <row r="4" spans="1:12" ht="14.5" hidden="1">
      <c r="A4">
        <f>2</f>
        <v>2</v>
      </c>
      <c r="E4" s="38"/>
      <c r="F4" s="38"/>
      <c r="G4" s="223"/>
      <c r="H4" s="38"/>
      <c r="I4" s="225"/>
      <c r="J4" s="226"/>
      <c r="K4" s="227"/>
      <c r="L4" s="226"/>
    </row>
    <row r="5" spans="1:12" ht="14.5" hidden="1">
      <c r="A5">
        <f>3</f>
        <v>3</v>
      </c>
      <c r="E5" s="38"/>
      <c r="F5" s="38"/>
      <c r="G5" s="223"/>
      <c r="H5" s="38"/>
      <c r="I5" s="225"/>
      <c r="J5" s="226"/>
      <c r="K5" s="227"/>
      <c r="L5" s="226"/>
    </row>
    <row r="6" spans="1:12" ht="14.5" hidden="1">
      <c r="A6" t="s">
        <v>10</v>
      </c>
      <c r="E6" s="38"/>
      <c r="F6" s="38"/>
      <c r="G6" s="223"/>
      <c r="H6" s="38"/>
      <c r="I6" s="225"/>
      <c r="J6" s="226"/>
      <c r="K6" s="227"/>
      <c r="L6" s="226"/>
    </row>
    <row r="7" spans="1:12" ht="14.5" hidden="1">
      <c r="A7" t="s">
        <v>11</v>
      </c>
      <c r="E7" s="38"/>
      <c r="F7" s="192"/>
      <c r="G7" s="223"/>
      <c r="H7" s="38"/>
      <c r="I7" s="225"/>
      <c r="J7" s="226"/>
      <c r="K7" s="227"/>
      <c r="L7" s="226"/>
    </row>
    <row r="8" spans="1:12" ht="14.5" hidden="1">
      <c r="A8" t="s">
        <v>106</v>
      </c>
      <c r="E8" s="145"/>
      <c r="F8" s="193"/>
      <c r="G8" s="224"/>
      <c r="H8" s="145"/>
      <c r="I8" s="228"/>
      <c r="J8" s="229"/>
      <c r="K8" s="230"/>
      <c r="L8" s="229"/>
    </row>
    <row r="9" spans="1:1" ht="14.5" hidden="1">
      <c r="A9" t="s">
        <v>13</v>
      </c>
    </row>
    <row r="10" spans="2:2" ht="14.5" hidden="1">
      <c r="B10" t="s">
        <v>463</v>
      </c>
    </row>
    <row r="11" spans="2:5" ht="14.5" hidden="1">
      <c r="B11" s="18" t="s">
        <v>83</v>
      </c>
      <c r="C11" s="18" t="s">
        <v>461</v>
      </c>
      <c r="D11" s="1"/>
      <c r="E11" s="1"/>
    </row>
    <row r="12" spans="2:6" ht="14.5" hidden="1">
      <c r="B12" s="18" t="s">
        <v>0</v>
      </c>
      <c r="C12" s="18" t="s">
        <v>152</v>
      </c>
      <c r="D12" s="1"/>
      <c r="E12" s="1"/>
      <c r="F12" s="1"/>
    </row>
    <row r="13" spans="2:6" ht="14.5" hidden="1">
      <c r="B13" s="18" t="s">
        <v>1</v>
      </c>
      <c r="C13" s="18" t="s">
        <v>246</v>
      </c>
      <c r="D13" s="1"/>
      <c r="E13" s="1"/>
      <c r="F13" s="1"/>
    </row>
    <row r="14" spans="2:8" ht="14.5" hidden="1">
      <c r="B14" s="18" t="s">
        <v>17</v>
      </c>
      <c r="C14" s="18" t="str">
        <f ca="1">Master!A25</f>
        <v>YTD 2025.M12</v>
      </c>
      <c r="D14" s="18"/>
      <c r="E14" s="18" t="str">
        <f ca="1">MID(C14,5,4)</f>
        <v>2025</v>
      </c>
      <c r="F14" s="18" t="str">
        <f ca="1">MID(C14,5,8)</f>
        <v>2025.M12</v>
      </c>
      <c r="G14" s="248">
        <v>0</v>
      </c>
      <c r="H14" s="18" t="s">
        <v>268</v>
      </c>
    </row>
    <row r="15" spans="2:6" ht="14.5" hidden="1">
      <c r="B15" s="18" t="s">
        <v>50</v>
      </c>
      <c r="C15" s="18" t="s">
        <v>8</v>
      </c>
      <c r="D15" s="1"/>
      <c r="E15" s="1"/>
      <c r="F15" s="1"/>
    </row>
    <row r="16" spans="2:6" ht="14.5" hidden="1">
      <c r="B16" s="18" t="s">
        <v>21</v>
      </c>
      <c r="C16" s="18" t="s">
        <v>271</v>
      </c>
      <c r="D16" s="1"/>
      <c r="E16" s="1"/>
      <c r="F16" s="1"/>
    </row>
    <row r="17" spans="2:6" ht="14.5" hidden="1">
      <c r="B17" s="18" t="s">
        <v>4</v>
      </c>
      <c r="C17" s="18" t="s">
        <v>273</v>
      </c>
      <c r="D17" s="1"/>
      <c r="E17" s="1"/>
      <c r="F17" s="1"/>
    </row>
    <row r="18" spans="2:6" ht="14.5" hidden="1">
      <c r="B18" s="18" t="s">
        <v>3</v>
      </c>
      <c r="C18" s="18" t="s">
        <v>276</v>
      </c>
      <c r="D18" s="1"/>
      <c r="E18" s="1"/>
      <c r="F18" s="1"/>
    </row>
    <row r="19" spans="2:6" ht="14.5" hidden="1">
      <c r="B19" s="18" t="s">
        <v>6</v>
      </c>
      <c r="C19" s="18" t="str">
        <f ca="1">Master!A24</f>
        <v>MERCI</v>
      </c>
      <c r="D19" s="1"/>
      <c r="E19" s="1"/>
      <c r="F19" s="1"/>
    </row>
    <row r="20" spans="2:6" ht="14.5" hidden="1">
      <c r="B20" s="18" t="s">
        <v>7</v>
      </c>
      <c r="C20" s="18" t="s">
        <v>133</v>
      </c>
      <c r="D20" s="1"/>
      <c r="E20" s="1"/>
      <c r="F20" s="1"/>
    </row>
    <row r="21" spans="2:6" ht="14.5" hidden="1">
      <c r="B21" s="1"/>
      <c r="C21" s="1"/>
      <c r="D21" s="1"/>
      <c r="E21" s="1"/>
      <c r="F21" s="1"/>
    </row>
    <row r="22" spans="2:8" ht="14.5" hidden="1">
      <c r="B22" s="1"/>
      <c r="C22" s="1"/>
      <c r="D22" s="1"/>
      <c r="E22" s="1"/>
      <c r="F22" s="1"/>
      <c r="G22" s="249"/>
      <c r="H22" s="1"/>
    </row>
    <row r="23" spans="2:8" ht="14.5" hidden="1">
      <c r="B23" t="str">
        <f ca="1">"{TM1FILTERBYPATTERN({FILTER({TM1DRILLDOWNMEMBER({[Item].[All Item]},ALL,RECURSIVE)},[Item].[Launch Year]='"&amp;$E$14&amp;"')}, "&amp;"'I-*'"&amp;")}"</f>
        <v>{TM1FILTERBYPATTERN({FILTER({TM1DRILLDOWNMEMBER({[Item].[All Item]},ALL,RECURSIVE)},[Item].[Launch Year]='2025')}, 'I-*')}</v>
      </c>
      <c r="E23" s="1"/>
      <c r="F23" s="1"/>
      <c r="G23" s="249"/>
      <c r="H23" s="1"/>
    </row>
    <row r="24" spans="5:8" ht="15.75" customHeight="1">
      <c r="E24" s="1"/>
      <c r="F24" s="1"/>
      <c r="G24" s="249"/>
      <c r="H24" s="1"/>
    </row>
    <row r="25" spans="5:12" ht="14.5">
      <c r="E25" s="6" t="s">
        <v>48</v>
      </c>
      <c r="F25" s="17"/>
      <c r="G25" s="250"/>
      <c r="H25" s="17"/>
      <c r="I25" s="17"/>
      <c r="J25" s="17"/>
      <c r="K25" s="17"/>
      <c r="L25" s="6" t="str">
        <f ca="1">C19</f>
        <v>MERCI</v>
      </c>
    </row>
    <row r="26" spans="5:12" ht="14.5">
      <c r="E26" s="40" t="s">
        <v>112</v>
      </c>
      <c r="F26" s="62"/>
      <c r="G26" s="251"/>
      <c r="H26" s="62"/>
      <c r="I26" s="62"/>
      <c r="J26" s="62"/>
      <c r="K26" s="62"/>
      <c r="L26" s="40" t="str">
        <f ca="1">$H$14&amp;" "&amp;$E$14</f>
        <v>December 2025</v>
      </c>
    </row>
    <row r="28" spans="5:5" ht="14.5">
      <c r="E28" s="1" t="str">
        <f ca="1">"PERFORMANCE OF NEW ITEMS LAUNCHED YTD "&amp;UPPER(L26)&amp;" (RANKED BY UNITS SOLD)"</f>
        <v>PERFORMANCE OF NEW ITEMS LAUNCHED YTD DECEMBER 2025 (RANKED BY UNITS SOLD)</v>
      </c>
    </row>
    <row r="29" spans="9:12" ht="14.5" hidden="1">
      <c r="I29" s="52" t="s">
        <v>49</v>
      </c>
      <c r="J29" s="52" t="s">
        <v>74</v>
      </c>
      <c r="K29" s="52" t="s">
        <v>45</v>
      </c>
      <c r="L29" s="52" t="s">
        <v>72</v>
      </c>
    </row>
    <row r="30" spans="5:12" ht="29">
      <c r="E30" s="88" t="s">
        <v>84</v>
      </c>
      <c r="F30" s="89" t="s">
        <v>85</v>
      </c>
      <c r="G30" s="198" t="s">
        <v>70</v>
      </c>
      <c r="H30" s="89" t="s">
        <v>86</v>
      </c>
      <c r="I30" s="194" t="s">
        <v>54</v>
      </c>
      <c r="J30" s="195" t="s">
        <v>55</v>
      </c>
      <c r="K30" s="194" t="s">
        <v>56</v>
      </c>
      <c r="L30" s="196" t="s">
        <v>57</v>
      </c>
    </row>
    <row r="31" spans="5:12" ht="14.5">
      <c r="E31" s="37"/>
      <c r="F31" s="37"/>
      <c r="G31" s="252"/>
      <c r="H31" s="37" t="s">
        <v>102</v>
      </c>
      <c r="I31" s="136">
        <f ca="1">SUM($I$32:$I$451)</f>
        <v>2754</v>
      </c>
      <c r="J31" s="134">
        <f ca="1">SUM($J$32:$J$451)</f>
        <v>0.10518937660795093</v>
      </c>
      <c r="K31" s="135">
        <f ca="1">SUM($K$32:$K$451)</f>
        <v>56136.239999999991</v>
      </c>
      <c r="L31" s="134">
        <f ca="1">SUM($L$32:$L$451)</f>
        <v>0.058721934369602755</v>
      </c>
    </row>
    <row r="32" spans="1:12" ht="14.5">
      <c r="A32" t="s">
        <v>11</v>
      </c>
      <c r="B32" t="s">
        <v>364</v>
      </c>
      <c r="C32" t="s">
        <v>464</v>
      </c>
      <c r="E32" s="38" t="s">
        <v>465</v>
      </c>
      <c r="F32" s="192" t="str">
        <f ca="1">C32</f>
        <v>2025-07-01</v>
      </c>
      <c r="G32" s="223" t="s">
        <v>445</v>
      </c>
      <c r="H32" s="38" t="s">
        <v>444</v>
      </c>
      <c r="I32" s="225">
        <v>481</v>
      </c>
      <c r="J32" s="226">
        <v>0.025000396313560588</v>
      </c>
      <c r="K32" s="227">
        <v>13341.919999999998</v>
      </c>
      <c r="L32" s="226">
        <v>0.010256082219237085</v>
      </c>
    </row>
    <row r="33" spans="1:12" ht="14.5">
      <c r="A33" t="s">
        <v>11</v>
      </c>
      <c r="B33" t="s">
        <v>365</v>
      </c>
      <c r="C33" t="s">
        <v>466</v>
      </c>
      <c r="E33" s="38" t="s">
        <v>467</v>
      </c>
      <c r="F33" s="192" t="str">
        <f ca="1">C33</f>
        <v>2025-06-26</v>
      </c>
      <c r="G33" s="223" t="s">
        <v>447</v>
      </c>
      <c r="H33" s="38" t="s">
        <v>446</v>
      </c>
      <c r="I33" s="225">
        <v>479</v>
      </c>
      <c r="J33" s="226">
        <v>0.025046829647042579</v>
      </c>
      <c r="K33" s="227">
        <v>13366.699999999999</v>
      </c>
      <c r="L33" s="226">
        <v>0.010213437386724663</v>
      </c>
    </row>
    <row r="34" spans="1:12" ht="14.5">
      <c r="A34" t="s">
        <v>11</v>
      </c>
      <c r="B34" t="s">
        <v>366</v>
      </c>
      <c r="C34" t="s">
        <v>468</v>
      </c>
      <c r="E34" s="38" t="s">
        <v>469</v>
      </c>
      <c r="F34" s="192" t="str">
        <f ca="1">C34</f>
        <v>2025-09-30</v>
      </c>
      <c r="G34" s="223" t="s">
        <v>449</v>
      </c>
      <c r="H34" s="38" t="s">
        <v>448</v>
      </c>
      <c r="I34" s="225">
        <v>403</v>
      </c>
      <c r="J34" s="226">
        <v>0.0045084180935297761</v>
      </c>
      <c r="K34" s="227">
        <v>2406</v>
      </c>
      <c r="L34" s="226">
        <v>0.0085929337512526925</v>
      </c>
    </row>
    <row r="35" spans="1:12" ht="14.5">
      <c r="A35" t="s">
        <v>11</v>
      </c>
      <c r="B35" t="s">
        <v>367</v>
      </c>
      <c r="C35" t="s">
        <v>468</v>
      </c>
      <c r="E35" s="38" t="s">
        <v>469</v>
      </c>
      <c r="F35" s="192" t="str">
        <f ca="1">C35</f>
        <v>2025-09-30</v>
      </c>
      <c r="G35" s="223" t="s">
        <v>451</v>
      </c>
      <c r="H35" s="38" t="s">
        <v>450</v>
      </c>
      <c r="I35" s="225">
        <v>293</v>
      </c>
      <c r="J35" s="226">
        <v>0.0032851864511955126</v>
      </c>
      <c r="K35" s="227">
        <v>1753.2</v>
      </c>
      <c r="L35" s="226">
        <v>0.0062474679630695751</v>
      </c>
    </row>
    <row r="36" spans="1:12" ht="14.5">
      <c r="A36" t="s">
        <v>11</v>
      </c>
      <c r="B36" t="s">
        <v>368</v>
      </c>
      <c r="C36" t="s">
        <v>466</v>
      </c>
      <c r="E36" s="38" t="s">
        <v>467</v>
      </c>
      <c r="F36" s="192" t="str">
        <f ca="1">C36</f>
        <v>2025-06-26</v>
      </c>
      <c r="G36" s="223" t="s">
        <v>453</v>
      </c>
      <c r="H36" s="38" t="s">
        <v>452</v>
      </c>
      <c r="I36" s="225">
        <v>243</v>
      </c>
      <c r="J36" s="226">
        <v>0.012799878666214303</v>
      </c>
      <c r="K36" s="227">
        <v>6830.8900000000012</v>
      </c>
      <c r="L36" s="226">
        <v>0.0051813471502590676</v>
      </c>
    </row>
    <row r="37" spans="1:12" ht="14.5">
      <c r="A37" t="s">
        <v>11</v>
      </c>
      <c r="B37" t="s">
        <v>369</v>
      </c>
      <c r="C37" t="s">
        <v>468</v>
      </c>
      <c r="E37" s="38" t="s">
        <v>469</v>
      </c>
      <c r="F37" s="192" t="str">
        <f ca="1">C37</f>
        <v>2025-09-30</v>
      </c>
      <c r="G37" s="223" t="s">
        <v>455</v>
      </c>
      <c r="H37" s="38" t="s">
        <v>454</v>
      </c>
      <c r="I37" s="225">
        <v>241</v>
      </c>
      <c r="J37" s="226">
        <v>0.002700553680962225</v>
      </c>
      <c r="K37" s="227">
        <v>1441.2</v>
      </c>
      <c r="L37" s="226">
        <v>0.0051387023177466469</v>
      </c>
    </row>
    <row r="38" spans="1:12" ht="14.5">
      <c r="A38" t="s">
        <v>11</v>
      </c>
      <c r="B38" t="s">
        <v>371</v>
      </c>
      <c r="C38" t="s">
        <v>466</v>
      </c>
      <c r="E38" s="38" t="s">
        <v>467</v>
      </c>
      <c r="F38" s="192" t="str">
        <f ca="1">C38</f>
        <v>2025-06-26</v>
      </c>
      <c r="G38" s="223" t="s">
        <v>459</v>
      </c>
      <c r="H38" s="38" t="s">
        <v>458</v>
      </c>
      <c r="I38" s="225">
        <v>207</v>
      </c>
      <c r="J38" s="226">
        <v>0.01092009692761613</v>
      </c>
      <c r="K38" s="227">
        <v>5827.71</v>
      </c>
      <c r="L38" s="226">
        <v>0.004413740165035502</v>
      </c>
    </row>
    <row r="39" spans="1:12" ht="14.5">
      <c r="A39" t="s">
        <v>11</v>
      </c>
      <c r="B39" t="s">
        <v>372</v>
      </c>
      <c r="C39" t="s">
        <v>466</v>
      </c>
      <c r="E39" s="38" t="s">
        <v>467</v>
      </c>
      <c r="F39" s="192" t="str">
        <f ca="1">C39</f>
        <v>2025-06-26</v>
      </c>
      <c r="G39" s="223" t="s">
        <v>470</v>
      </c>
      <c r="H39" s="38" t="s">
        <v>471</v>
      </c>
      <c r="I39" s="225">
        <v>174</v>
      </c>
      <c r="J39" s="226">
        <v>0.0091364797844294098</v>
      </c>
      <c r="K39" s="227">
        <v>4875.8499999999995</v>
      </c>
      <c r="L39" s="226">
        <v>0.0037101004285805669</v>
      </c>
    </row>
    <row r="40" spans="1:12" ht="14.5">
      <c r="A40" t="s">
        <v>11</v>
      </c>
      <c r="B40" t="s">
        <v>374</v>
      </c>
      <c r="C40" t="s">
        <v>464</v>
      </c>
      <c r="E40" s="38" t="s">
        <v>465</v>
      </c>
      <c r="F40" s="192" t="str">
        <f ca="1">C40</f>
        <v>2025-07-01</v>
      </c>
      <c r="G40" s="223" t="s">
        <v>472</v>
      </c>
      <c r="H40" s="38" t="s">
        <v>473</v>
      </c>
      <c r="I40" s="225">
        <v>115</v>
      </c>
      <c r="J40" s="226">
        <v>0.0060400435221620984</v>
      </c>
      <c r="K40" s="227">
        <v>3223.3800000000001</v>
      </c>
      <c r="L40" s="226">
        <v>0.0024520778694641678</v>
      </c>
    </row>
    <row r="41" spans="1:12" ht="14.5">
      <c r="A41" t="s">
        <v>11</v>
      </c>
      <c r="B41" t="s">
        <v>375</v>
      </c>
      <c r="C41" t="s">
        <v>464</v>
      </c>
      <c r="E41" s="38" t="s">
        <v>465</v>
      </c>
      <c r="F41" s="192" t="str">
        <f ca="1">C41</f>
        <v>2025-07-01</v>
      </c>
      <c r="G41" s="223" t="s">
        <v>474</v>
      </c>
      <c r="H41" s="38" t="s">
        <v>475</v>
      </c>
      <c r="I41" s="225">
        <v>95</v>
      </c>
      <c r="J41" s="226">
        <v>0.0049588664000566347</v>
      </c>
      <c r="K41" s="227">
        <v>2646.3899999999999</v>
      </c>
      <c r="L41" s="226">
        <v>0.0020256295443399647</v>
      </c>
    </row>
    <row r="42" spans="1:12" ht="14.5">
      <c r="A42" t="s">
        <v>11</v>
      </c>
      <c r="B42" t="s">
        <v>378</v>
      </c>
      <c r="C42" t="s">
        <v>468</v>
      </c>
      <c r="E42" s="38" t="s">
        <v>469</v>
      </c>
      <c r="F42" s="192" t="str">
        <f ca="1">C42</f>
        <v>2025-09-30</v>
      </c>
      <c r="G42" s="223" t="s">
        <v>476</v>
      </c>
      <c r="H42" s="38" t="s">
        <v>477</v>
      </c>
      <c r="I42" s="225">
        <v>22</v>
      </c>
      <c r="J42" s="226">
        <v>0.00078325800627408401</v>
      </c>
      <c r="K42" s="227">
        <v>418</v>
      </c>
      <c r="L42" s="226">
        <v>0.00046909315763662339</v>
      </c>
    </row>
    <row r="43" spans="1:12" ht="14.5">
      <c r="A43" t="s">
        <v>106</v>
      </c>
      <c r="B43" t="s">
        <v>381</v>
      </c>
      <c r="C43" t="s">
        <v>468</v>
      </c>
      <c r="E43" s="145" t="s">
        <v>469</v>
      </c>
      <c r="F43" s="193" t="str">
        <f ca="1">C43</f>
        <v>2025-09-30</v>
      </c>
      <c r="G43" s="224" t="s">
        <v>478</v>
      </c>
      <c r="H43" s="145" t="s">
        <v>479</v>
      </c>
      <c r="I43" s="228">
        <v>1</v>
      </c>
      <c r="J43" s="229">
        <v>9.3691149075847371E-06</v>
      </c>
      <c r="K43" s="230">
        <v>5</v>
      </c>
      <c r="L43" s="229">
        <v>2.1322416256210155E-05</v>
      </c>
    </row>
  </sheetData>
  <pageMargins left="0.708661417322835" right="0.708661417322835" top="0.748031496062992" bottom="0.748031496062992" header="0.31496062992126" footer="0.31496062992126"/>
  <pageSetup fitToHeight="20" orientation="landscape" paperSize="9" scale="87" r:id="rId1"/>
  <customProperties>
    <customPr name="CUSTOMPROP:RWBOOKMARKNAME" r:id="rId2"/>
  </customPropertie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3:Q93"/>
  <sheetViews>
    <sheetView showGridLines="0" workbookViewId="0" topLeftCell="B1"/>
  </sheetViews>
  <sheetFormatPr defaultRowHeight="14.5" outlineLevelRow="1"/>
  <cols>
    <col min="1" max="1" width="34" hidden="1" customWidth="1"/>
    <col min="2" max="2" width="2" customWidth="1"/>
    <col min="3" max="3" width="36.8181818181818" customWidth="1"/>
    <col min="4" max="4" width="19.2727272727273" customWidth="1"/>
    <col min="5" max="17" width="14.8181818181818" customWidth="1"/>
  </cols>
  <sheetData>
    <row r="2" ht="14.5" hidden="1"/>
    <row r="3" spans="3:4" ht="14.5" hidden="1">
      <c r="C3" t="s">
        <v>115</v>
      </c>
      <c r="D3" t="str">
        <f>"Actual"</f>
        <v>Actual</v>
      </c>
    </row>
    <row r="4" spans="3:4" ht="14.5" hidden="1">
      <c r="C4" t="s">
        <v>0</v>
      </c>
      <c r="D4" t="str">
        <f>"Report AUD"</f>
        <v>Report AUD</v>
      </c>
    </row>
    <row r="5" spans="3:4" ht="14.5" hidden="1">
      <c r="C5" t="s">
        <v>1</v>
      </c>
      <c r="D5" t="str">
        <f>"Mecca Concept Consolidated Excl Intl"</f>
        <v>Mecca Concept Consolidated Excl Intl</v>
      </c>
    </row>
    <row r="6" spans="3:4" ht="14.5" hidden="1">
      <c r="C6" t="s">
        <v>21</v>
      </c>
      <c r="D6" t="str">
        <f>"All Trading As"</f>
        <v>All Trading As</v>
      </c>
    </row>
    <row r="7" spans="3:4" ht="14.5" hidden="1">
      <c r="C7" t="s">
        <v>7</v>
      </c>
      <c r="D7" t="str">
        <f>"Total Stores by Concept Excl Non Store"</f>
        <v>Total Stores by Concept Excl Non Store</v>
      </c>
    </row>
    <row r="8" spans="3:4" ht="14.5" hidden="1">
      <c r="C8" t="s">
        <v>116</v>
      </c>
      <c r="D8" t="str">
        <f ca="1">Master!A24</f>
        <v>MERCI</v>
      </c>
    </row>
    <row r="9" spans="3:4" ht="14.5" hidden="1">
      <c r="C9" t="s">
        <v>3</v>
      </c>
      <c r="D9" t="str">
        <f>"All DCS"</f>
        <v>All DCS</v>
      </c>
    </row>
    <row r="10" spans="3:4" ht="14.5" hidden="1">
      <c r="C10" t="s">
        <v>4</v>
      </c>
      <c r="D10" t="str">
        <f>"All Lifestage"</f>
        <v>All Lifestage</v>
      </c>
    </row>
    <row r="11" spans="3:7" ht="14.5" hidden="1">
      <c r="C11" t="s">
        <v>5</v>
      </c>
      <c r="D11" t="str">
        <f>"All Item"</f>
        <v>All Item</v>
      </c>
      <c r="E11" t="s">
        <v>165</v>
      </c>
      <c r="F11" t="s">
        <v>117</v>
      </c>
      <c r="G11" t="s">
        <v>156</v>
      </c>
    </row>
    <row r="12" spans="3:4" ht="14.5" hidden="1">
      <c r="C12" t="s">
        <v>118</v>
      </c>
      <c r="D12" t="s">
        <v>480</v>
      </c>
    </row>
    <row r="13" ht="14.5" hidden="1"/>
    <row r="14" ht="14.5" hidden="1"/>
    <row r="15" ht="14.5" hidden="1"/>
    <row r="16" ht="14.5" hidden="1"/>
    <row r="17" ht="14.5" hidden="1"/>
    <row r="18" spans="3:10" ht="14.5" hidden="1">
      <c r="C18" s="18" t="s">
        <v>14</v>
      </c>
      <c r="D18" s="18" t="str">
        <f ca="1">Master!A25</f>
        <v>YTD 2025.M12</v>
      </c>
      <c r="E18" s="18" t="str">
        <f ca="1">MID(D18,5,8)</f>
        <v>2025.M12</v>
      </c>
      <c r="F18" s="18" t="s">
        <v>415</v>
      </c>
      <c r="G18" s="18" t="str">
        <f ca="1">"YTD "&amp;$F$18</f>
        <v>YTD 2025-12-27</v>
      </c>
      <c r="H18" s="18" t="str">
        <f ca="1">"YTD "&amp;(E19-1)&amp;"."&amp;RIGHT(D18,3)</f>
        <v>YTD 2024.M12</v>
      </c>
      <c r="I18" s="18" t="s">
        <v>268</v>
      </c>
      <c r="J18" s="18"/>
    </row>
    <row r="19" spans="3:5" ht="14.5" hidden="1">
      <c r="C19" s="18" t="s">
        <v>15</v>
      </c>
      <c r="D19" s="18"/>
      <c r="E19" s="18" t="str">
        <f ca="1">MID(D18,5,4)</f>
        <v>2025</v>
      </c>
    </row>
    <row r="20" spans="3:17" ht="14.5" hidden="1">
      <c r="C20" s="1"/>
      <c r="D20" t="s">
        <v>237</v>
      </c>
      <c r="E20" s="1" t="str">
        <f ca="1">$E$19&amp;".M01"</f>
        <v>2025.M01</v>
      </c>
      <c r="F20" s="1" t="str">
        <f ca="1">$E$19&amp;".M02"</f>
        <v>2025.M02</v>
      </c>
      <c r="G20" s="1" t="str">
        <f ca="1">$E$19&amp;".M03"</f>
        <v>2025.M03</v>
      </c>
      <c r="H20" s="1" t="str">
        <f ca="1">$E$19&amp;".M04"</f>
        <v>2025.M04</v>
      </c>
      <c r="I20" s="1" t="str">
        <f ca="1">$E$19&amp;".M05"</f>
        <v>2025.M05</v>
      </c>
      <c r="J20" s="1" t="str">
        <f ca="1">$E$19&amp;".M06"</f>
        <v>2025.M06</v>
      </c>
      <c r="K20" s="1" t="str">
        <f ca="1">$E$19&amp;".M07"</f>
        <v>2025.M07</v>
      </c>
      <c r="L20" s="1" t="str">
        <f ca="1">$E$19&amp;".M08"</f>
        <v>2025.M08</v>
      </c>
      <c r="M20" s="1" t="str">
        <f ca="1">$E$19&amp;".M09"</f>
        <v>2025.M09</v>
      </c>
      <c r="N20" s="1" t="str">
        <f ca="1">$E$19&amp;".M10"</f>
        <v>2025.M10</v>
      </c>
      <c r="O20" s="1" t="str">
        <f ca="1">$E$19&amp;".M11"</f>
        <v>2025.M11</v>
      </c>
      <c r="P20" s="1" t="str">
        <f ca="1">$E$19&amp;".M12"</f>
        <v>2025.M12</v>
      </c>
      <c r="Q20" s="1" t="str">
        <f ca="1">E19</f>
        <v>2025</v>
      </c>
    </row>
    <row r="21" spans="3:17" ht="21" customHeight="1" hidden="1">
      <c r="C21" s="1"/>
      <c r="D21" t="s">
        <v>155</v>
      </c>
      <c r="E21" s="1" t="str">
        <f ca="1">CONCATENATE($E$19,"-Jan")</f>
        <v>2025-Jan</v>
      </c>
      <c r="F21" s="1" t="str">
        <f ca="1">CONCATENATE($E$19,"-Feb")</f>
        <v>2025-Feb</v>
      </c>
      <c r="G21" s="1" t="str">
        <f ca="1">CONCATENATE($E$19,"-Mar")</f>
        <v>2025-Mar</v>
      </c>
      <c r="H21" s="1" t="str">
        <f ca="1">CONCATENATE($E$19,"-Apr")</f>
        <v>2025-Apr</v>
      </c>
      <c r="I21" s="1" t="str">
        <f ca="1">CONCATENATE($E$19,"-May")</f>
        <v>2025-May</v>
      </c>
      <c r="J21" s="1" t="str">
        <f ca="1">CONCATENATE($E$19,"-Jun")</f>
        <v>2025-Jun</v>
      </c>
      <c r="K21" s="1" t="str">
        <f ca="1">CONCATENATE($E$19,"-Jul")</f>
        <v>2025-Jul</v>
      </c>
      <c r="L21" s="1" t="str">
        <f ca="1">CONCATENATE($E$19,"-Aug")</f>
        <v>2025-Aug</v>
      </c>
      <c r="M21" s="1" t="str">
        <f ca="1">CONCATENATE($E$19,"-Sep")</f>
        <v>2025-Sep</v>
      </c>
      <c r="N21" s="1" t="str">
        <f ca="1">CONCATENATE($E$19,"-Oct")</f>
        <v>2025-Oct</v>
      </c>
      <c r="O21" s="1" t="str">
        <f ca="1">CONCATENATE($E$19,"-Nov")</f>
        <v>2025-Nov</v>
      </c>
      <c r="P21" s="1" t="str">
        <f ca="1">CONCATENATE($E$19,"-Dec")</f>
        <v>2025-Dec</v>
      </c>
      <c r="Q21" s="1" t="str">
        <f ca="1">$E$19</f>
        <v>2025</v>
      </c>
    </row>
    <row r="22" ht="9" customHeight="1" hidden="1"/>
    <row r="23" spans="3:17" ht="14.5">
      <c r="C23" s="6" t="s">
        <v>40</v>
      </c>
      <c r="D23" s="6"/>
      <c r="E23" s="16"/>
      <c r="F23" s="16"/>
      <c r="G23" s="16"/>
      <c r="H23" s="16"/>
      <c r="I23" s="16"/>
      <c r="J23" s="16"/>
      <c r="K23" s="16"/>
      <c r="L23" s="16"/>
      <c r="M23" s="16"/>
      <c r="N23" s="16"/>
      <c r="O23" s="16"/>
      <c r="P23" s="303" t="str">
        <f ca="1">$D$8</f>
        <v>MERCI</v>
      </c>
      <c r="Q23" s="303"/>
    </row>
    <row r="24" spans="3:17" ht="14.5">
      <c r="C24" s="1" t="s">
        <v>119</v>
      </c>
      <c r="D24" s="1"/>
      <c r="P24" s="304" t="str">
        <f ca="1">I18&amp;" "&amp;E19</f>
        <v>December 2025</v>
      </c>
      <c r="Q24" s="304"/>
    </row>
    <row r="26" ht="14.5" hidden="1" outlineLevel="1"/>
    <row r="27" spans="3:3" ht="14.5" hidden="1" outlineLevel="1">
      <c r="C27" t="s">
        <v>270</v>
      </c>
    </row>
    <row r="28" spans="3:17" ht="14.5" hidden="1" outlineLevel="1">
      <c r="C28" s="1" t="s">
        <v>68</v>
      </c>
      <c r="E28">
        <v>1</v>
      </c>
      <c r="F28">
        <v>1</v>
      </c>
      <c r="G28">
        <v>1</v>
      </c>
      <c r="H28">
        <v>1</v>
      </c>
      <c r="I28">
        <v>1</v>
      </c>
      <c r="J28">
        <v>1</v>
      </c>
      <c r="K28">
        <v>1</v>
      </c>
      <c r="L28">
        <v>1</v>
      </c>
      <c r="M28">
        <v>1</v>
      </c>
      <c r="N28">
        <v>1</v>
      </c>
      <c r="O28">
        <v>1</v>
      </c>
      <c r="P28">
        <v>1</v>
      </c>
      <c r="Q28">
        <v>1</v>
      </c>
    </row>
    <row r="29" spans="3:4" ht="14.5" hidden="1" outlineLevel="1">
      <c r="C29" s="1" t="s">
        <v>120</v>
      </c>
      <c r="D29" s="1"/>
    </row>
    <row r="30" spans="3:17" ht="14.5" hidden="1" outlineLevel="1">
      <c r="C30" s="17"/>
      <c r="D30" s="17"/>
      <c r="E30" s="206" t="s">
        <v>267</v>
      </c>
      <c r="F30" s="206" t="s">
        <v>244</v>
      </c>
      <c r="G30" s="206" t="s">
        <v>269</v>
      </c>
      <c r="H30" s="206" t="s">
        <v>242</v>
      </c>
      <c r="I30" s="206" t="s">
        <v>264</v>
      </c>
      <c r="J30" s="206" t="s">
        <v>266</v>
      </c>
      <c r="K30" s="206" t="s">
        <v>386</v>
      </c>
      <c r="L30" s="206" t="s">
        <v>387</v>
      </c>
      <c r="M30" s="206" t="s">
        <v>388</v>
      </c>
      <c r="N30" s="206" t="s">
        <v>389</v>
      </c>
      <c r="O30" s="206" t="s">
        <v>390</v>
      </c>
      <c r="P30" s="206" t="s">
        <v>391</v>
      </c>
      <c r="Q30" s="7" t="s">
        <v>121</v>
      </c>
    </row>
    <row r="31" spans="1:17" ht="14.5" hidden="1" outlineLevel="1">
      <c r="A31" t="s">
        <v>20</v>
      </c>
      <c r="B31" s="31"/>
      <c r="C31" t="s">
        <v>122</v>
      </c>
      <c r="D31" s="76" t="s">
        <v>25</v>
      </c>
      <c r="E31" s="255">
        <v>55649.379999999903</v>
      </c>
      <c r="F31" s="255">
        <v>46383</v>
      </c>
      <c r="G31" s="255">
        <v>49857.169999999998</v>
      </c>
      <c r="H31" s="255">
        <v>43805.25</v>
      </c>
      <c r="I31" s="255">
        <v>37932.529999999999</v>
      </c>
      <c r="J31" s="255">
        <v>44727.25</v>
      </c>
      <c r="K31" s="255">
        <v>47543.830000000002</v>
      </c>
      <c r="L31" s="255">
        <v>37069.790000000001</v>
      </c>
      <c r="M31" s="255">
        <v>40305.82</v>
      </c>
      <c r="N31" s="255">
        <v>33501.290000000001</v>
      </c>
      <c r="O31" s="255">
        <v>30222.939999999999</v>
      </c>
      <c r="P31" s="255">
        <v>66670.089999999997</v>
      </c>
      <c r="Q31" s="255">
        <v>533668.33999999997</v>
      </c>
    </row>
    <row r="32" spans="3:17" ht="14.5" hidden="1" outlineLevel="1">
      <c r="C32" s="12"/>
      <c r="D32" s="12"/>
      <c r="E32" s="12"/>
      <c r="F32" s="12"/>
      <c r="G32" s="12"/>
      <c r="H32" s="12"/>
      <c r="I32" s="12"/>
      <c r="J32" s="12"/>
      <c r="K32" s="12"/>
      <c r="L32" s="12"/>
      <c r="M32" s="12"/>
      <c r="N32" s="12"/>
      <c r="O32" s="12"/>
      <c r="P32" s="12"/>
      <c r="Q32" s="12"/>
    </row>
    <row r="33" spans="3:3" ht="14.5" hidden="1" outlineLevel="1">
      <c r="C33" t="s">
        <v>481</v>
      </c>
    </row>
    <row r="34" ht="14.5" hidden="1" outlineLevel="1"/>
    <row r="35" spans="3:4" ht="14.5" collapsed="1">
      <c r="C35" s="1" t="s">
        <v>172</v>
      </c>
      <c r="D35" s="1"/>
    </row>
    <row r="36" spans="3:17" ht="14.5">
      <c r="C36" s="17"/>
      <c r="D36" s="17"/>
      <c r="E36" s="206" t="s">
        <v>267</v>
      </c>
      <c r="F36" s="206" t="s">
        <v>244</v>
      </c>
      <c r="G36" s="206" t="s">
        <v>269</v>
      </c>
      <c r="H36" s="206" t="s">
        <v>242</v>
      </c>
      <c r="I36" s="206" t="s">
        <v>264</v>
      </c>
      <c r="J36" s="206" t="s">
        <v>266</v>
      </c>
      <c r="K36" s="206" t="s">
        <v>386</v>
      </c>
      <c r="L36" s="206" t="s">
        <v>387</v>
      </c>
      <c r="M36" s="206" t="s">
        <v>388</v>
      </c>
      <c r="N36" s="206" t="s">
        <v>389</v>
      </c>
      <c r="O36" s="206" t="s">
        <v>390</v>
      </c>
      <c r="P36" s="206" t="s">
        <v>391</v>
      </c>
      <c r="Q36" s="7" t="s">
        <v>121</v>
      </c>
    </row>
    <row r="37" spans="1:17" ht="14.5">
      <c r="A37" t="s">
        <v>151</v>
      </c>
      <c r="B37" s="31"/>
      <c r="C37" t="s">
        <v>123</v>
      </c>
      <c r="D37" s="76" t="str">
        <f ca="1">D12</f>
        <v>EUR</v>
      </c>
      <c r="E37" s="208">
        <v>0</v>
      </c>
      <c r="F37" s="208">
        <v>8780.5</v>
      </c>
      <c r="G37" s="208">
        <v>0</v>
      </c>
      <c r="H37" s="208">
        <v>2787</v>
      </c>
      <c r="I37" s="208">
        <v>17544</v>
      </c>
      <c r="J37" s="208">
        <v>2040</v>
      </c>
      <c r="K37" s="208">
        <v>19452.25</v>
      </c>
      <c r="L37" s="208">
        <v>11889</v>
      </c>
      <c r="M37" s="208">
        <v>32515.279999999999</v>
      </c>
      <c r="N37" s="208">
        <v>5343</v>
      </c>
      <c r="O37" s="208">
        <v>14704.4</v>
      </c>
      <c r="P37" s="208">
        <v>22310</v>
      </c>
      <c r="Q37" s="208">
        <f ca="1">SUM(E37:P37)</f>
        <v>137365.42999999999</v>
      </c>
    </row>
    <row r="38" spans="1:17" ht="14.5">
      <c r="A38" t="s">
        <v>153</v>
      </c>
      <c r="B38" s="31"/>
      <c r="C38" t="s">
        <v>124</v>
      </c>
      <c r="D38" s="76" t="str">
        <f ca="1">D12</f>
        <v>EUR</v>
      </c>
      <c r="E38" s="208">
        <v>0</v>
      </c>
      <c r="F38" s="208">
        <v>4825.5</v>
      </c>
      <c r="G38" s="208">
        <v>0</v>
      </c>
      <c r="H38" s="208">
        <v>2787</v>
      </c>
      <c r="I38" s="208">
        <v>11904</v>
      </c>
      <c r="J38" s="208">
        <v>2040</v>
      </c>
      <c r="K38" s="208">
        <v>4328.5</v>
      </c>
      <c r="L38" s="208">
        <v>7815</v>
      </c>
      <c r="M38" s="208">
        <v>26679.52</v>
      </c>
      <c r="N38" s="208">
        <v>5343</v>
      </c>
      <c r="O38" s="208">
        <v>13424.4</v>
      </c>
      <c r="P38" s="208">
        <v>0</v>
      </c>
      <c r="Q38" s="208">
        <f ca="1">SUM(E38:P38)</f>
        <v>79146.919999999998</v>
      </c>
    </row>
    <row r="39" spans="2:17" s="256" customFormat="1" ht="14.5">
      <c r="B39" s="257"/>
      <c r="C39" s="259" t="s">
        <v>125</v>
      </c>
      <c r="D39" s="209" t="s">
        <v>37</v>
      </c>
      <c r="E39" s="258" t="str">
        <f ca="1">IF(E37=0,"N/A",IF(ISERROR(E38/E37),0,(E38/E37)))</f>
        <v>N/A</v>
      </c>
      <c r="F39" s="258">
        <f ca="1" t="shared" si="0" ref="F39:P39">IF(F37=0,"N/A",IF(ISERROR(F38/F37),0,(F38/F37)))</f>
        <v>0.54957007004156944</v>
      </c>
      <c r="G39" s="258" t="str">
        <f t="shared" ca="1" si="0"/>
        <v>N/A</v>
      </c>
      <c r="H39" s="258">
        <f t="shared" ca="1" si="0"/>
        <v>1</v>
      </c>
      <c r="I39" s="258">
        <f t="shared" ca="1" si="0"/>
        <v>0.67852257181942544</v>
      </c>
      <c r="J39" s="258">
        <f t="shared" ca="1" si="0"/>
        <v>1</v>
      </c>
      <c r="K39" s="258">
        <f t="shared" ca="1" si="0"/>
        <v>0.22251924584559626</v>
      </c>
      <c r="L39" s="258">
        <f t="shared" ca="1" si="0"/>
        <v>0.6573303053242493</v>
      </c>
      <c r="M39" s="258">
        <f t="shared" ca="1" si="0"/>
        <v>0.82052253586621438</v>
      </c>
      <c r="N39" s="258">
        <f t="shared" ca="1" si="0"/>
        <v>1</v>
      </c>
      <c r="O39" s="258">
        <f t="shared" ca="1" si="0"/>
        <v>0.91295122548352869</v>
      </c>
      <c r="P39" s="258">
        <f t="shared" ca="1" si="0"/>
        <v>0</v>
      </c>
      <c r="Q39" s="258">
        <f ca="1">IF(Q37=0,"N/A",IF(ISERROR(Q38/Q37),0,(Q38/Q37)))</f>
        <v>0.57617786367356039</v>
      </c>
    </row>
    <row r="40" ht="14.25" customHeight="1"/>
    <row r="41" spans="3:17" ht="14.5">
      <c r="C41" s="17"/>
      <c r="D41" s="17"/>
      <c r="E41" s="206" t="s">
        <v>267</v>
      </c>
      <c r="F41" s="206" t="s">
        <v>244</v>
      </c>
      <c r="G41" s="206" t="s">
        <v>269</v>
      </c>
      <c r="H41" s="206" t="s">
        <v>242</v>
      </c>
      <c r="I41" s="206" t="s">
        <v>264</v>
      </c>
      <c r="J41" s="206" t="s">
        <v>266</v>
      </c>
      <c r="K41" s="206" t="s">
        <v>386</v>
      </c>
      <c r="L41" s="206" t="s">
        <v>387</v>
      </c>
      <c r="M41" s="206" t="s">
        <v>388</v>
      </c>
      <c r="N41" s="206" t="s">
        <v>389</v>
      </c>
      <c r="O41" s="206" t="s">
        <v>390</v>
      </c>
      <c r="P41" s="206" t="s">
        <v>391</v>
      </c>
      <c r="Q41" s="7" t="s">
        <v>121</v>
      </c>
    </row>
    <row r="42" spans="1:17" ht="14.5">
      <c r="A42" t="s">
        <v>126</v>
      </c>
      <c r="B42" s="31"/>
      <c r="C42" t="s">
        <v>123</v>
      </c>
      <c r="D42" s="76" t="s">
        <v>36</v>
      </c>
      <c r="E42" s="208">
        <v>0</v>
      </c>
      <c r="F42" s="208">
        <v>4408</v>
      </c>
      <c r="G42" s="208">
        <v>0</v>
      </c>
      <c r="H42" s="208">
        <v>972</v>
      </c>
      <c r="I42" s="208">
        <v>8412</v>
      </c>
      <c r="J42" s="208">
        <v>844</v>
      </c>
      <c r="K42" s="208">
        <v>9223</v>
      </c>
      <c r="L42" s="208">
        <v>4852</v>
      </c>
      <c r="M42" s="208">
        <v>21822</v>
      </c>
      <c r="N42" s="208">
        <v>2616</v>
      </c>
      <c r="O42" s="208">
        <v>8432</v>
      </c>
      <c r="P42" s="208">
        <v>11288</v>
      </c>
      <c r="Q42" s="208">
        <f ca="1">SUM(E42:P42)</f>
        <v>72869</v>
      </c>
    </row>
    <row r="43" spans="1:17" ht="14.5">
      <c r="A43" t="s">
        <v>154</v>
      </c>
      <c r="B43" s="31"/>
      <c r="C43" t="s">
        <v>124</v>
      </c>
      <c r="D43" s="76" t="s">
        <v>36</v>
      </c>
      <c r="E43" s="208">
        <v>0</v>
      </c>
      <c r="F43" s="208">
        <v>2826</v>
      </c>
      <c r="G43" s="208">
        <v>0</v>
      </c>
      <c r="H43" s="208">
        <v>972</v>
      </c>
      <c r="I43" s="208">
        <v>6116</v>
      </c>
      <c r="J43" s="208">
        <v>844</v>
      </c>
      <c r="K43" s="208">
        <v>2014</v>
      </c>
      <c r="L43" s="208">
        <v>2524</v>
      </c>
      <c r="M43" s="208">
        <v>18832</v>
      </c>
      <c r="N43" s="208">
        <v>2616</v>
      </c>
      <c r="O43" s="208">
        <v>7792</v>
      </c>
      <c r="P43" s="208">
        <v>0</v>
      </c>
      <c r="Q43" s="208">
        <f ca="1">SUM(E43:P43)</f>
        <v>44536</v>
      </c>
    </row>
    <row r="44" spans="2:17" s="256" customFormat="1" ht="14.5">
      <c r="B44" s="257"/>
      <c r="C44" s="259" t="s">
        <v>125</v>
      </c>
      <c r="D44" s="209" t="s">
        <v>37</v>
      </c>
      <c r="E44" s="258" t="str">
        <f ca="1">IF(E42=0,"N/A",IF(ISERROR(E43/E42),0,(E43/E42)))</f>
        <v>N/A</v>
      </c>
      <c r="F44" s="258">
        <f ca="1" t="shared" si="1" ref="F44:P44">IF(F42=0,"N/A",IF(ISERROR(F43/F42),0,(F43/F42)))</f>
        <v>0.64110707803992739</v>
      </c>
      <c r="G44" s="258" t="str">
        <f t="shared" ca="1" si="1"/>
        <v>N/A</v>
      </c>
      <c r="H44" s="258">
        <f t="shared" ca="1" si="1"/>
        <v>1</v>
      </c>
      <c r="I44" s="258">
        <f t="shared" ca="1" si="1"/>
        <v>0.72705658582976695</v>
      </c>
      <c r="J44" s="258">
        <f t="shared" ca="1" si="1"/>
        <v>1</v>
      </c>
      <c r="K44" s="258">
        <f t="shared" ca="1" si="1"/>
        <v>0.21836712566410063</v>
      </c>
      <c r="L44" s="258">
        <f t="shared" ca="1" si="1"/>
        <v>0.52019785655399831</v>
      </c>
      <c r="M44" s="258">
        <f t="shared" ca="1" si="1"/>
        <v>0.8629823114288333</v>
      </c>
      <c r="N44" s="258">
        <f t="shared" ca="1" si="1"/>
        <v>1</v>
      </c>
      <c r="O44" s="258">
        <f t="shared" ca="1" si="1"/>
        <v>0.92409867172675519</v>
      </c>
      <c r="P44" s="258">
        <f t="shared" ca="1" si="1"/>
        <v>0</v>
      </c>
      <c r="Q44" s="258">
        <f ca="1">IF(Q42=0,"N/A",IF(ISERROR(Q43/Q42),0,(Q43/Q42)))</f>
        <v>0.61117896499197188</v>
      </c>
    </row>
    <row r="46" spans="3:3" ht="14.5">
      <c r="C46" t="s">
        <v>220</v>
      </c>
    </row>
    <row r="47" spans="6:6" ht="14.5">
      <c r="F47" s="260"/>
    </row>
    <row r="48" spans="3:4" ht="14.5">
      <c r="C48" s="1" t="s">
        <v>173</v>
      </c>
      <c r="D48" s="1"/>
    </row>
    <row r="49" spans="3:17" ht="15">
      <c r="C49" s="17"/>
      <c r="D49" s="17"/>
      <c r="E49" s="206" t="s">
        <v>267</v>
      </c>
      <c r="F49" s="206" t="s">
        <v>244</v>
      </c>
      <c r="G49" s="206" t="s">
        <v>269</v>
      </c>
      <c r="H49" s="206" t="s">
        <v>242</v>
      </c>
      <c r="I49" s="206" t="s">
        <v>264</v>
      </c>
      <c r="J49" s="206" t="s">
        <v>266</v>
      </c>
      <c r="K49" s="206" t="s">
        <v>386</v>
      </c>
      <c r="L49" s="206" t="s">
        <v>387</v>
      </c>
      <c r="M49" s="206" t="s">
        <v>388</v>
      </c>
      <c r="N49" s="206" t="s">
        <v>389</v>
      </c>
      <c r="O49" s="206" t="s">
        <v>390</v>
      </c>
      <c r="P49" s="206" t="s">
        <v>391</v>
      </c>
      <c r="Q49" s="7" t="s">
        <v>121</v>
      </c>
    </row>
    <row r="50" spans="1:17" ht="15">
      <c r="A50" t="s">
        <v>126</v>
      </c>
      <c r="B50" s="31"/>
      <c r="C50" t="s">
        <v>123</v>
      </c>
      <c r="D50" s="76" t="s">
        <v>36</v>
      </c>
      <c r="E50" s="208">
        <v>0</v>
      </c>
      <c r="F50" s="208">
        <v>0</v>
      </c>
      <c r="G50" s="208">
        <v>0</v>
      </c>
      <c r="H50" s="208">
        <v>0</v>
      </c>
      <c r="I50" s="208">
        <v>0</v>
      </c>
      <c r="J50" s="208">
        <v>0</v>
      </c>
      <c r="K50" s="208">
        <v>0</v>
      </c>
      <c r="L50" s="208">
        <v>0</v>
      </c>
      <c r="M50" s="208">
        <v>0</v>
      </c>
      <c r="N50" s="208">
        <v>0</v>
      </c>
      <c r="O50" s="208">
        <v>0</v>
      </c>
      <c r="P50" s="208">
        <v>0</v>
      </c>
      <c r="Q50" s="208">
        <f ca="1">SUM(E50:P50)</f>
        <v>0</v>
      </c>
    </row>
    <row r="51" spans="1:17" ht="15">
      <c r="A51" t="s">
        <v>154</v>
      </c>
      <c r="B51" s="31"/>
      <c r="C51" t="s">
        <v>124</v>
      </c>
      <c r="D51" s="76" t="s">
        <v>36</v>
      </c>
      <c r="E51" s="208">
        <v>0</v>
      </c>
      <c r="F51" s="208">
        <v>0</v>
      </c>
      <c r="G51" s="208">
        <v>0</v>
      </c>
      <c r="H51" s="208">
        <v>0</v>
      </c>
      <c r="I51" s="208">
        <v>0</v>
      </c>
      <c r="J51" s="208">
        <v>0</v>
      </c>
      <c r="K51" s="208">
        <v>0</v>
      </c>
      <c r="L51" s="208">
        <v>0</v>
      </c>
      <c r="M51" s="208">
        <v>0</v>
      </c>
      <c r="N51" s="208">
        <v>0</v>
      </c>
      <c r="O51" s="208">
        <v>0</v>
      </c>
      <c r="P51" s="208">
        <v>0</v>
      </c>
      <c r="Q51" s="208">
        <f ca="1">SUM(E51:P51)</f>
        <v>0</v>
      </c>
    </row>
    <row r="52" spans="2:17" ht="15">
      <c r="B52" s="31"/>
      <c r="C52" s="119" t="s">
        <v>125</v>
      </c>
      <c r="D52" s="209" t="s">
        <v>37</v>
      </c>
      <c r="E52" s="258" t="str">
        <f ca="1">IF(E50=0,"N/A",IF(ISERROR(E51/E50),0,(E51/E50)))</f>
        <v>N/A</v>
      </c>
      <c r="F52" s="258" t="str">
        <f ca="1" t="shared" si="2" ref="F52:P52">IF(F50=0,"N/A",IF(ISERROR(F51/F50),0,(F51/F50)))</f>
        <v>N/A</v>
      </c>
      <c r="G52" s="258" t="str">
        <f t="shared" ca="1" si="2"/>
        <v>N/A</v>
      </c>
      <c r="H52" s="258" t="str">
        <f t="shared" ca="1" si="2"/>
        <v>N/A</v>
      </c>
      <c r="I52" s="258" t="str">
        <f t="shared" ca="1" si="2"/>
        <v>N/A</v>
      </c>
      <c r="J52" s="258" t="str">
        <f t="shared" ca="1" si="2"/>
        <v>N/A</v>
      </c>
      <c r="K52" s="258" t="str">
        <f t="shared" ca="1" si="2"/>
        <v>N/A</v>
      </c>
      <c r="L52" s="258" t="str">
        <f t="shared" ca="1" si="2"/>
        <v>N/A</v>
      </c>
      <c r="M52" s="258" t="str">
        <f t="shared" ca="1" si="2"/>
        <v>N/A</v>
      </c>
      <c r="N52" s="258" t="str">
        <f t="shared" ca="1" si="2"/>
        <v>N/A</v>
      </c>
      <c r="O52" s="258" t="str">
        <f t="shared" ca="1" si="2"/>
        <v>N/A</v>
      </c>
      <c r="P52" s="258" t="str">
        <f t="shared" ca="1" si="2"/>
        <v>N/A</v>
      </c>
      <c r="Q52" s="258" t="str">
        <f ca="1">IF(Q50=0,"N/A",IF(ISERROR(Q51/Q50),0,(Q51/Q50)))</f>
        <v>N/A</v>
      </c>
    </row>
    <row r="53" spans="1:17" ht="15">
      <c r="A53" t="s">
        <v>154</v>
      </c>
      <c r="B53" s="31"/>
      <c r="C53" t="s">
        <v>127</v>
      </c>
      <c r="D53" s="76" t="s">
        <v>36</v>
      </c>
      <c r="E53" s="208">
        <v>0</v>
      </c>
      <c r="F53" s="208">
        <v>2826</v>
      </c>
      <c r="G53" s="208">
        <v>0</v>
      </c>
      <c r="H53" s="208">
        <v>972</v>
      </c>
      <c r="I53" s="208">
        <v>6116</v>
      </c>
      <c r="J53" s="208">
        <v>844</v>
      </c>
      <c r="K53" s="208">
        <v>2014</v>
      </c>
      <c r="L53" s="208">
        <v>2524</v>
      </c>
      <c r="M53" s="208">
        <v>18832</v>
      </c>
      <c r="N53" s="208">
        <v>2616</v>
      </c>
      <c r="O53" s="208">
        <v>7792</v>
      </c>
      <c r="P53" s="208">
        <v>0</v>
      </c>
      <c r="Q53" s="208">
        <f ca="1">SUM(E53:P53)</f>
        <v>44536</v>
      </c>
    </row>
    <row r="54" spans="2:17" ht="15">
      <c r="B54" s="31"/>
      <c r="C54" s="119" t="s">
        <v>128</v>
      </c>
      <c r="D54" s="212" t="s">
        <v>37</v>
      </c>
      <c r="E54" s="258" t="str">
        <f ca="1">IF(E51=0,"N/A",IF(ISERROR(E51/E53),0,(E51/E53)))</f>
        <v>N/A</v>
      </c>
      <c r="F54" s="258" t="str">
        <f ca="1" t="shared" si="3" ref="F54:Q54">IF(F51=0,"N/A",IF(ISERROR(F51/F53),0,(F51/F53)))</f>
        <v>N/A</v>
      </c>
      <c r="G54" s="258" t="str">
        <f t="shared" ca="1" si="3"/>
        <v>N/A</v>
      </c>
      <c r="H54" s="258" t="str">
        <f t="shared" ca="1" si="3"/>
        <v>N/A</v>
      </c>
      <c r="I54" s="258" t="str">
        <f t="shared" ca="1" si="3"/>
        <v>N/A</v>
      </c>
      <c r="J54" s="258" t="str">
        <f t="shared" ca="1" si="3"/>
        <v>N/A</v>
      </c>
      <c r="K54" s="258" t="str">
        <f t="shared" ca="1" si="3"/>
        <v>N/A</v>
      </c>
      <c r="L54" s="258" t="str">
        <f t="shared" ca="1" si="3"/>
        <v>N/A</v>
      </c>
      <c r="M54" s="258" t="str">
        <f t="shared" ca="1" si="3"/>
        <v>N/A</v>
      </c>
      <c r="N54" s="258" t="str">
        <f t="shared" ca="1" si="3"/>
        <v>N/A</v>
      </c>
      <c r="O54" s="258" t="str">
        <f t="shared" ca="1" si="3"/>
        <v>N/A</v>
      </c>
      <c r="P54" s="258" t="str">
        <f t="shared" ca="1" si="3"/>
        <v>N/A</v>
      </c>
      <c r="Q54" s="258" t="str">
        <f t="shared" ca="1" si="3"/>
        <v>N/A</v>
      </c>
    </row>
    <row r="55" spans="4:17" ht="15">
      <c r="D55" s="76"/>
      <c r="E55" s="275"/>
      <c r="F55" s="275"/>
      <c r="G55" s="275"/>
      <c r="H55" s="275"/>
      <c r="I55" s="275"/>
      <c r="J55" s="275"/>
      <c r="K55" s="275"/>
      <c r="L55" s="275"/>
      <c r="M55" s="275"/>
      <c r="N55" s="275"/>
      <c r="O55" s="275"/>
      <c r="P55" s="275"/>
      <c r="Q55" s="275"/>
    </row>
    <row r="56" spans="3:17" ht="15">
      <c r="C56" t="s">
        <v>174</v>
      </c>
      <c r="D56" s="76"/>
      <c r="E56" s="275"/>
      <c r="F56" s="275"/>
      <c r="G56" s="275"/>
      <c r="H56" s="275"/>
      <c r="I56" s="275"/>
      <c r="J56" s="275"/>
      <c r="K56" s="275"/>
      <c r="L56" s="275"/>
      <c r="M56" s="275"/>
      <c r="N56" s="275"/>
      <c r="O56" s="275"/>
      <c r="P56" s="275"/>
      <c r="Q56" s="275"/>
    </row>
    <row r="58" spans="1:17" ht="15" hidden="1">
      <c r="A58" t="s">
        <v>151</v>
      </c>
      <c r="C58" t="s">
        <v>159</v>
      </c>
      <c r="D58" t="s">
        <v>152</v>
      </c>
      <c r="E58" s="270">
        <v>0</v>
      </c>
      <c r="F58" s="270">
        <v>2475.16556291391</v>
      </c>
      <c r="G58" s="270">
        <v>12062.086092715201</v>
      </c>
      <c r="H58" s="270">
        <v>4644.3020409084202</v>
      </c>
      <c r="I58" s="270">
        <v>18362.862010221499</v>
      </c>
      <c r="J58" s="270">
        <v>15082.0739682365</v>
      </c>
      <c r="K58" s="270">
        <v>33138.415672913099</v>
      </c>
      <c r="L58" s="270">
        <v>21306.451612903202</v>
      </c>
      <c r="M58" s="270">
        <v>58271.111111111102</v>
      </c>
      <c r="N58" s="270">
        <v>8526.8817204301104</v>
      </c>
      <c r="O58" s="270">
        <v>1048.38709677419</v>
      </c>
      <c r="P58" s="270">
        <v>66334.050179211496</v>
      </c>
      <c r="Q58" s="270">
        <f ca="1">SUM(E58:P58)</f>
        <v>241251.78706833872</v>
      </c>
    </row>
    <row r="59" spans="1:17" ht="15" hidden="1">
      <c r="A59" t="s">
        <v>153</v>
      </c>
      <c r="C59" t="s">
        <v>127</v>
      </c>
      <c r="D59" t="s">
        <v>152</v>
      </c>
      <c r="E59" s="239">
        <v>0</v>
      </c>
      <c r="F59" s="239">
        <v>695.36423841059604</v>
      </c>
      <c r="G59" s="239">
        <v>7293.8741721854303</v>
      </c>
      <c r="H59" s="239">
        <v>4644.3020409084202</v>
      </c>
      <c r="I59" s="239">
        <v>12434.412265758099</v>
      </c>
      <c r="J59" s="239">
        <v>11346.5681156235</v>
      </c>
      <c r="K59" s="239">
        <v>7373.9352640545103</v>
      </c>
      <c r="L59" s="239">
        <v>14005.376344086</v>
      </c>
      <c r="M59" s="239">
        <v>47812.759856630801</v>
      </c>
      <c r="N59" s="239">
        <v>8526.8817204301104</v>
      </c>
      <c r="O59" s="239">
        <v>1048.38709677419</v>
      </c>
      <c r="P59" s="239">
        <v>24058.064516129001</v>
      </c>
      <c r="Q59" s="270">
        <f ca="1">SUM(E59:P59)</f>
        <v>139239.92563099068</v>
      </c>
    </row>
    <row r="60" spans="5:17" ht="15" hidden="1">
      <c r="E60" s="239"/>
      <c r="F60" s="239"/>
      <c r="G60" s="239"/>
      <c r="H60" s="239"/>
      <c r="I60" s="239"/>
      <c r="J60" s="239"/>
      <c r="K60" s="239"/>
      <c r="L60" s="239"/>
      <c r="M60" s="239"/>
      <c r="N60" s="239"/>
      <c r="O60" s="239"/>
      <c r="P60" s="239"/>
      <c r="Q60" s="239"/>
    </row>
    <row r="61" spans="5:9" ht="15" hidden="1">
      <c r="E61" s="271">
        <f ca="1">E37/E84</f>
        <v>0</v>
      </c>
      <c r="F61" s="271">
        <f ca="1">F37/F84</f>
        <v>14537.251655629139</v>
      </c>
      <c r="G61" s="271">
        <f ca="1">G37/G84</f>
        <v>0</v>
      </c>
      <c r="H61" s="271">
        <f ca="1">H37/H84</f>
        <v>4614.2384105960264</v>
      </c>
      <c r="I61" s="271">
        <f ca="1">I37/I84</f>
        <v>29046.357615894041</v>
      </c>
    </row>
    <row r="62" spans="3:3" ht="15" hidden="1">
      <c r="C62" t="s">
        <v>482</v>
      </c>
    </row>
    <row r="63" ht="15" hidden="1"/>
    <row r="64" spans="3:4" ht="15">
      <c r="C64" s="1" t="s">
        <v>129</v>
      </c>
      <c r="D64" s="1"/>
    </row>
    <row r="65" spans="3:17" ht="15">
      <c r="C65" s="17"/>
      <c r="D65" s="17"/>
      <c r="E65" s="206" t="s">
        <v>267</v>
      </c>
      <c r="F65" s="206" t="s">
        <v>244</v>
      </c>
      <c r="G65" s="206" t="s">
        <v>269</v>
      </c>
      <c r="H65" s="206" t="s">
        <v>242</v>
      </c>
      <c r="I65" s="206" t="s">
        <v>264</v>
      </c>
      <c r="J65" s="206" t="s">
        <v>266</v>
      </c>
      <c r="K65" s="206" t="s">
        <v>386</v>
      </c>
      <c r="L65" s="206" t="s">
        <v>387</v>
      </c>
      <c r="M65" s="206" t="s">
        <v>388</v>
      </c>
      <c r="N65" s="206" t="s">
        <v>389</v>
      </c>
      <c r="O65" s="206" t="s">
        <v>390</v>
      </c>
      <c r="P65" s="206" t="s">
        <v>391</v>
      </c>
      <c r="Q65" s="7" t="s">
        <v>121</v>
      </c>
    </row>
    <row r="66" spans="1:17" ht="15">
      <c r="A66" t="s">
        <v>130</v>
      </c>
      <c r="B66" s="31"/>
      <c r="C66" t="s">
        <v>142</v>
      </c>
      <c r="D66" s="76" t="s">
        <v>36</v>
      </c>
      <c r="E66" s="208">
        <v>5</v>
      </c>
      <c r="F66" s="208">
        <v>11</v>
      </c>
      <c r="G66" s="208">
        <v>6</v>
      </c>
      <c r="H66" s="208">
        <v>10</v>
      </c>
      <c r="I66" s="208">
        <v>8</v>
      </c>
      <c r="J66" s="208">
        <v>62</v>
      </c>
      <c r="K66" s="208">
        <v>64</v>
      </c>
      <c r="L66" s="208">
        <v>7</v>
      </c>
      <c r="M66" s="208">
        <v>8</v>
      </c>
      <c r="N66" s="208">
        <v>1</v>
      </c>
      <c r="O66" s="208">
        <v>3</v>
      </c>
      <c r="P66" s="208">
        <v>6</v>
      </c>
      <c r="Q66" s="208">
        <f ca="1">SUM(E66:P66)</f>
        <v>191</v>
      </c>
    </row>
    <row r="67" spans="1:17" ht="15">
      <c r="A67" t="s">
        <v>247</v>
      </c>
      <c r="B67" s="31"/>
      <c r="C67" s="59" t="s">
        <v>131</v>
      </c>
      <c r="D67" s="211" t="s">
        <v>25</v>
      </c>
      <c r="E67" s="207">
        <v>69</v>
      </c>
      <c r="F67" s="207">
        <v>169</v>
      </c>
      <c r="G67" s="207">
        <v>100</v>
      </c>
      <c r="H67" s="207">
        <v>117</v>
      </c>
      <c r="I67" s="207">
        <v>111</v>
      </c>
      <c r="J67" s="207">
        <v>1580</v>
      </c>
      <c r="K67" s="207">
        <v>1728</v>
      </c>
      <c r="L67" s="207">
        <v>153</v>
      </c>
      <c r="M67" s="207">
        <v>162</v>
      </c>
      <c r="N67" s="207">
        <v>17</v>
      </c>
      <c r="O67" s="207">
        <v>73</v>
      </c>
      <c r="P67" s="207">
        <v>128</v>
      </c>
      <c r="Q67" s="208">
        <f ca="1">SUM(E67:P67)</f>
        <v>4407</v>
      </c>
    </row>
    <row r="68" spans="2:17" ht="15">
      <c r="B68" s="31"/>
      <c r="C68" t="s">
        <v>132</v>
      </c>
      <c r="D68" s="76" t="s">
        <v>37</v>
      </c>
      <c r="E68" s="213">
        <f ca="1" t="shared" si="4" ref="E68:Q68">IF(ISERROR(E67/E31),0,(E67/E31))</f>
        <v>0.0012399059971557656</v>
      </c>
      <c r="F68" s="213">
        <f t="shared" ca="1" si="4"/>
        <v>0.0036435763102860962</v>
      </c>
      <c r="G68" s="213">
        <f t="shared" ca="1" si="4"/>
        <v>0.0020057295670813245</v>
      </c>
      <c r="H68" s="213">
        <f t="shared" ca="1" si="4"/>
        <v>0.002670912733062818</v>
      </c>
      <c r="I68" s="213">
        <f t="shared" ca="1" si="4"/>
        <v>0.0029262482623753283</v>
      </c>
      <c r="J68" s="213">
        <f t="shared" ca="1" si="4"/>
        <v>0.035325221201840042</v>
      </c>
      <c r="K68" s="213">
        <f t="shared" ca="1" si="4"/>
        <v>0.0363454101194624</v>
      </c>
      <c r="L68" s="213">
        <f t="shared" ca="1" si="4"/>
        <v>0.004127350060520979</v>
      </c>
      <c r="M68" s="213">
        <f t="shared" ca="1" si="4"/>
        <v>0.0040192706661221628</v>
      </c>
      <c r="N68" s="213">
        <f t="shared" ca="1" si="4"/>
        <v>0.00050744314621914562</v>
      </c>
      <c r="O68" s="213">
        <f t="shared" ca="1" si="4"/>
        <v>0.0024153838111050747</v>
      </c>
      <c r="P68" s="213">
        <f t="shared" ca="1" si="4"/>
        <v>0.0019199014130624394</v>
      </c>
      <c r="Q68" s="213">
        <f t="shared" ca="1" si="4"/>
        <v>0.0082579378795451883</v>
      </c>
    </row>
    <row r="69" spans="3:17" ht="15">
      <c r="C69" s="12"/>
      <c r="D69" s="12"/>
      <c r="E69" s="12"/>
      <c r="F69" s="12"/>
      <c r="G69" s="12"/>
      <c r="H69" s="12"/>
      <c r="I69" s="12"/>
      <c r="J69" s="12"/>
      <c r="K69" s="12"/>
      <c r="L69" s="12"/>
      <c r="M69" s="12"/>
      <c r="N69" s="12"/>
      <c r="O69" s="12"/>
      <c r="P69" s="12"/>
      <c r="Q69" s="12"/>
    </row>
    <row r="70" spans="3:3" ht="15">
      <c r="C70" t="s">
        <v>221</v>
      </c>
    </row>
    <row r="71" spans="3:3" ht="15">
      <c r="C71" s="274"/>
    </row>
    <row r="72" spans="3:6" ht="15" hidden="1">
      <c r="C72" t="s">
        <v>148</v>
      </c>
      <c r="F72" t="s">
        <v>167</v>
      </c>
    </row>
    <row r="73" spans="3:7" ht="15" hidden="1">
      <c r="C73" t="s">
        <v>146</v>
      </c>
      <c r="D73" t="s">
        <v>147</v>
      </c>
      <c r="F73" t="s">
        <v>168</v>
      </c>
      <c r="G73" t="s">
        <v>169</v>
      </c>
    </row>
    <row r="74" spans="3:4" ht="15" hidden="1">
      <c r="C74" t="s">
        <v>144</v>
      </c>
      <c r="D74" s="238" t="s">
        <v>145</v>
      </c>
    </row>
    <row r="75" spans="3:4" ht="15" hidden="1">
      <c r="C75" t="s">
        <v>5</v>
      </c>
      <c r="D75" s="238" t="s">
        <v>143</v>
      </c>
    </row>
    <row r="76" spans="4:4" ht="15" hidden="1">
      <c r="D76" s="238"/>
    </row>
    <row r="77" spans="4:4" ht="15" hidden="1">
      <c r="D77" s="238"/>
    </row>
    <row r="78" spans="3:3" ht="15">
      <c r="C78" s="1" t="s">
        <v>139</v>
      </c>
    </row>
    <row r="79" spans="3:17" ht="15">
      <c r="C79" s="17"/>
      <c r="D79" s="17"/>
      <c r="E79" s="206" t="s">
        <v>267</v>
      </c>
      <c r="F79" s="206" t="s">
        <v>244</v>
      </c>
      <c r="G79" s="206" t="s">
        <v>269</v>
      </c>
      <c r="H79" s="206" t="s">
        <v>242</v>
      </c>
      <c r="I79" s="206" t="s">
        <v>264</v>
      </c>
      <c r="J79" s="206" t="s">
        <v>266</v>
      </c>
      <c r="K79" s="206" t="s">
        <v>386</v>
      </c>
      <c r="L79" s="206" t="s">
        <v>387</v>
      </c>
      <c r="M79" s="206" t="s">
        <v>388</v>
      </c>
      <c r="N79" s="206" t="s">
        <v>389</v>
      </c>
      <c r="O79" s="206" t="s">
        <v>390</v>
      </c>
      <c r="P79" s="206" t="s">
        <v>391</v>
      </c>
      <c r="Q79" s="7" t="s">
        <v>121</v>
      </c>
    </row>
    <row r="80" spans="1:17" ht="15">
      <c r="A80" t="s">
        <v>158</v>
      </c>
      <c r="C80" s="157" t="s">
        <v>140</v>
      </c>
      <c r="D80" s="282" t="s">
        <v>36</v>
      </c>
      <c r="E80" s="261">
        <v>49</v>
      </c>
      <c r="F80" s="284">
        <v>49</v>
      </c>
      <c r="G80" s="283">
        <v>38</v>
      </c>
      <c r="H80" s="261">
        <v>34</v>
      </c>
      <c r="I80" s="283">
        <v>27</v>
      </c>
      <c r="J80" s="283">
        <v>106</v>
      </c>
      <c r="K80" s="261">
        <v>107</v>
      </c>
      <c r="L80" s="283">
        <v>35</v>
      </c>
      <c r="M80" s="261">
        <v>32</v>
      </c>
      <c r="N80" s="283">
        <v>10</v>
      </c>
      <c r="O80" s="261">
        <v>43</v>
      </c>
      <c r="P80" s="283">
        <v>0</v>
      </c>
      <c r="Q80" s="283">
        <v>530</v>
      </c>
    </row>
    <row r="81" spans="1:17" ht="15">
      <c r="A81" t="s">
        <v>149</v>
      </c>
      <c r="C81" s="59" t="s">
        <v>140</v>
      </c>
      <c r="D81" s="211" t="s">
        <v>25</v>
      </c>
      <c r="E81" s="281">
        <v>178.59706362153301</v>
      </c>
      <c r="F81" s="280">
        <v>191.98675496688699</v>
      </c>
      <c r="G81" s="207">
        <v>131.19205298013199</v>
      </c>
      <c r="H81" s="281">
        <v>107.433774834437</v>
      </c>
      <c r="I81" s="207">
        <v>99.602649006622499</v>
      </c>
      <c r="J81" s="207">
        <v>568.41059602649</v>
      </c>
      <c r="K81" s="281">
        <v>677.56272401433796</v>
      </c>
      <c r="L81" s="207">
        <v>173.082437275986</v>
      </c>
      <c r="M81" s="281">
        <v>164.12186379928301</v>
      </c>
      <c r="N81" s="207">
        <v>47.043010752688197</v>
      </c>
      <c r="O81" s="281">
        <v>213.24372759856601</v>
      </c>
      <c r="P81" s="207">
        <v>0</v>
      </c>
      <c r="Q81" s="207">
        <v>2552.27665487697</v>
      </c>
    </row>
    <row r="82" spans="3:17" ht="15">
      <c r="C82" s="59" t="s">
        <v>157</v>
      </c>
      <c r="D82" s="211" t="s">
        <v>37</v>
      </c>
      <c r="E82" s="262">
        <f ca="1" t="shared" si="5" ref="E82:Q82">IF(ISERROR(E81/E58),0,(E81/E58))</f>
        <v>0</v>
      </c>
      <c r="F82" s="265">
        <f t="shared" ca="1" si="5"/>
        <v>0.077565217391304092</v>
      </c>
      <c r="G82" s="213">
        <f t="shared" ca="1" si="5"/>
        <v>0.010876398325440934</v>
      </c>
      <c r="H82" s="262">
        <f t="shared" ca="1" si="5"/>
        <v>0.023132383270538338</v>
      </c>
      <c r="I82" s="213">
        <f t="shared" ca="1" si="5"/>
        <v>0.0054241353527124314</v>
      </c>
      <c r="J82" s="213">
        <f t="shared" ca="1" si="5"/>
        <v>0.03768782710014467</v>
      </c>
      <c r="K82" s="262">
        <f t="shared" ca="1" si="5"/>
        <v>0.020446442904878182</v>
      </c>
      <c r="L82" s="213">
        <f t="shared" ca="1" si="5"/>
        <v>0.0081234754815375804</v>
      </c>
      <c r="M82" s="262">
        <f t="shared" ca="1" si="5"/>
        <v>0.0028165219552161299</v>
      </c>
      <c r="N82" s="213">
        <f t="shared" ca="1" si="5"/>
        <v>0.0055170239596469117</v>
      </c>
      <c r="O82" s="262">
        <f t="shared" ca="1" si="5"/>
        <v>0.20340170940170979</v>
      </c>
      <c r="P82" s="213">
        <f t="shared" ca="1" si="5"/>
        <v>0</v>
      </c>
      <c r="Q82" s="213">
        <f t="shared" ca="1" si="5"/>
        <v>0.010579306731327938</v>
      </c>
    </row>
    <row r="83" spans="3:17" ht="15">
      <c r="C83" s="119" t="s">
        <v>141</v>
      </c>
      <c r="D83" s="209" t="s">
        <v>37</v>
      </c>
      <c r="E83" s="263">
        <f ca="1" t="shared" si="6" ref="E83:Q83">IF(ISERROR(E81/E59),0,(E81/E59))</f>
        <v>0</v>
      </c>
      <c r="F83" s="264">
        <f t="shared" ca="1" si="6"/>
        <v>0.27609523809523745</v>
      </c>
      <c r="G83" s="210">
        <f t="shared" ca="1" si="6"/>
        <v>0.017986607649528936</v>
      </c>
      <c r="H83" s="263">
        <f t="shared" ca="1" si="6"/>
        <v>0.023132383270538338</v>
      </c>
      <c r="I83" s="210">
        <f t="shared" ca="1" si="6"/>
        <v>0.0080102418094105191</v>
      </c>
      <c r="J83" s="210">
        <f t="shared" ca="1" si="6"/>
        <v>0.050095375996890623</v>
      </c>
      <c r="K83" s="263">
        <f t="shared" ca="1" si="6"/>
        <v>0.09188617742784258</v>
      </c>
      <c r="L83" s="210">
        <f t="shared" ca="1" si="6"/>
        <v>0.012358285348688462</v>
      </c>
      <c r="M83" s="263">
        <f t="shared" ca="1" si="6"/>
        <v>0.003432595488974313</v>
      </c>
      <c r="N83" s="210">
        <f t="shared" ca="1" si="6"/>
        <v>0.0055170239596469117</v>
      </c>
      <c r="O83" s="263">
        <f t="shared" ca="1" si="6"/>
        <v>0.20340170940170979</v>
      </c>
      <c r="P83" s="210">
        <f t="shared" ca="1" si="6"/>
        <v>0</v>
      </c>
      <c r="Q83" s="210">
        <f t="shared" ca="1" si="6"/>
        <v>0.018330063329974295</v>
      </c>
    </row>
    <row r="84" spans="1:17" ht="15">
      <c r="A84" t="s">
        <v>170</v>
      </c>
      <c r="C84" s="267" t="s">
        <v>160</v>
      </c>
      <c r="D84" s="269"/>
      <c r="E84" s="268">
        <v>0.61299999999999999</v>
      </c>
      <c r="F84" s="266">
        <v>0.60399999999999998</v>
      </c>
      <c r="G84" s="266">
        <v>0.60399999999999998</v>
      </c>
      <c r="H84" s="266">
        <v>0.60399999999999998</v>
      </c>
      <c r="I84" s="266">
        <v>0.60399999999999998</v>
      </c>
      <c r="J84" s="266">
        <v>0.60399999999999998</v>
      </c>
      <c r="K84" s="266">
        <v>0.55800000000000005</v>
      </c>
      <c r="L84" s="266">
        <v>0.55800000000000005</v>
      </c>
      <c r="M84" s="266">
        <v>0.55800000000000005</v>
      </c>
      <c r="N84" s="266">
        <v>0.55800000000000005</v>
      </c>
      <c r="O84" s="266">
        <v>0.55800000000000005</v>
      </c>
      <c r="P84" s="266">
        <v>0.55800000000000005</v>
      </c>
      <c r="Q84" s="19"/>
    </row>
    <row r="86" spans="3:3" ht="15">
      <c r="C86" t="s">
        <v>171</v>
      </c>
    </row>
    <row r="87" spans="5:5" ht="15">
      <c r="E87" t="s">
        <v>150</v>
      </c>
    </row>
    <row r="88" spans="3:9" ht="15">
      <c r="C88" s="1" t="s">
        <v>166</v>
      </c>
      <c r="I88" t="s">
        <v>150</v>
      </c>
    </row>
    <row r="89" spans="3:8" ht="15">
      <c r="C89" s="17"/>
      <c r="D89" s="17"/>
      <c r="E89" s="206" t="s">
        <v>161</v>
      </c>
      <c r="F89" s="206" t="s">
        <v>162</v>
      </c>
      <c r="G89" s="206" t="s">
        <v>163</v>
      </c>
      <c r="H89" s="206" t="s">
        <v>164</v>
      </c>
    </row>
    <row r="90" spans="3:8" ht="15">
      <c r="C90" s="157" t="s">
        <v>140</v>
      </c>
      <c r="D90" s="282" t="s">
        <v>36</v>
      </c>
      <c r="E90" s="261">
        <f ca="1">SUM(E80:G80)</f>
        <v>136</v>
      </c>
      <c r="F90" s="283">
        <f ca="1">SUM(H80:J80)</f>
        <v>167</v>
      </c>
      <c r="G90" s="261">
        <f ca="1">SUM(K80:M80)</f>
        <v>174</v>
      </c>
      <c r="H90" s="283">
        <f ca="1">SUM(N80:P80)</f>
        <v>53</v>
      </c>
    </row>
    <row r="91" spans="3:8" ht="15">
      <c r="C91" s="59" t="s">
        <v>140</v>
      </c>
      <c r="D91" s="211" t="s">
        <v>25</v>
      </c>
      <c r="E91" s="281">
        <f ca="1">SUM(E81:G81)</f>
        <v>501.77587156855202</v>
      </c>
      <c r="F91" s="207">
        <f ca="1">SUM(H81:J81)</f>
        <v>775.44701986754944</v>
      </c>
      <c r="G91" s="281">
        <f ca="1">SUM(K81:M81)</f>
        <v>1014.7670250896069</v>
      </c>
      <c r="H91" s="207">
        <f ca="1">SUM(N81:P81)</f>
        <v>260.2867383512542</v>
      </c>
    </row>
    <row r="92" spans="3:8" ht="15">
      <c r="C92" s="59" t="s">
        <v>157</v>
      </c>
      <c r="D92" s="211" t="s">
        <v>37</v>
      </c>
      <c r="E92" s="285">
        <f ca="1">IF(E91=0,"N/A",IF(ISERROR(E91/SUM(E58:G58)),0,(E91/SUM(E58:G58))))</f>
        <v>0.034516556736792443</v>
      </c>
      <c r="F92" s="272">
        <f ca="1">IF(F91=0,"N/A",IF(ISERROR(F91/SUM(H58:J58)),0,(F91/SUM(H58:J58))))</f>
        <v>0.020358690805872107</v>
      </c>
      <c r="G92" s="285">
        <f ca="1">IF(G91=0,"N/A",IF(ISERROR(G91/SUM(K58:M58)),0,(G91/SUM(K58:M58))))</f>
        <v>0.0090028675572164409</v>
      </c>
      <c r="H92" s="272">
        <f ca="1">IF(H91=0,"N/A",IF(ISERROR(H91/SUM(N58:P58)),0,(H91/SUM(N58:P58))))</f>
        <v>0.0034289167890380382</v>
      </c>
    </row>
    <row r="93" spans="3:8" ht="15">
      <c r="C93" s="119" t="s">
        <v>141</v>
      </c>
      <c r="D93" s="209" t="s">
        <v>37</v>
      </c>
      <c r="E93" s="286">
        <f ca="1">IF(E91=0,"N/A",IF(ISERROR(E91/SUM(E59:G59)),0,(E91/SUM(E59:G59))))</f>
        <v>0.062806471127842795</v>
      </c>
      <c r="F93" s="273">
        <f ca="1">IF(F91=0,"N/A",IF(ISERROR(F91/SUM(H59:J59)),0,(F91/SUM(H59:J59))))</f>
        <v>0.027280186995063013</v>
      </c>
      <c r="G93" s="286">
        <f ca="1">IF(G91=0,"N/A",IF(ISERROR(G91/SUM(K59:M59)),0,(G91/SUM(K59:M59))))</f>
        <v>0.014665943707239186</v>
      </c>
      <c r="H93" s="273">
        <f ca="1">IF(H91=0,"N/A",IF(ISERROR(H91/SUM(N59:P59)),0,(H91/SUM(N59:P59))))</f>
        <v>0.0077389515862612826</v>
      </c>
    </row>
  </sheetData>
  <mergeCells count="2">
    <mergeCell ref="P23:Q23"/>
    <mergeCell ref="P24:Q24"/>
  </mergeCells>
  <pageMargins left="0.708661417322835" right="0.708661417322835" top="0.748031496062992" bottom="0.748031496062992" header="0.31496062992126" footer="0.31496062992126"/>
  <pageSetup orientation="landscape" paperSize="9" scale="32" r:id="rId1"/>
  <customProperties>
    <customPr name="CUSTOMPROP:RWBOOKMARKNAME" r:id="rId2"/>
  </customPropertie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9:N25"/>
  <sheetViews>
    <sheetView showGridLines="0" view="pageBreakPreview" zoomScale="80" zoomScaleNormal="100" zoomScaleSheetLayoutView="80" workbookViewId="0" topLeftCell="A1"/>
  </sheetViews>
  <sheetFormatPr defaultRowHeight="14.5"/>
  <cols>
    <col min="1" max="1" width="16.2727272727273" customWidth="1"/>
    <col min="4" max="4" width="32.7272727272727" customWidth="1"/>
    <col min="8" max="8" width="70" customWidth="1"/>
  </cols>
  <sheetData>
    <row r="7" ht="7.5" customHeight="1"/>
    <row r="8" ht="7.5" customHeight="1"/>
    <row r="9" spans="4:14" ht="7.5" customHeight="1">
      <c r="D9" s="296"/>
      <c r="E9" s="296"/>
      <c r="F9" s="296"/>
      <c r="G9" s="296"/>
      <c r="H9" s="296"/>
      <c r="I9" s="296"/>
      <c r="J9" s="296"/>
      <c r="K9" s="296"/>
      <c r="L9" s="296"/>
      <c r="M9" s="296"/>
      <c r="N9" s="296"/>
    </row>
    <row r="10" spans="4:4" ht="7.5" customHeight="1">
      <c r="D10" s="35"/>
    </row>
    <row r="11" spans="4:4" ht="7.5" customHeight="1">
      <c r="D11" s="35"/>
    </row>
    <row r="12" spans="4:8" ht="7.5" customHeight="1">
      <c r="D12" s="35"/>
      <c r="H12" s="35"/>
    </row>
    <row r="13" spans="4:4" ht="7.5" customHeight="1">
      <c r="D13" s="35"/>
    </row>
    <row r="18" ht="9.75" customHeight="1"/>
    <row r="22" spans="1:14" s="216" customFormat="1" ht="53.15" customHeight="1">
      <c r="A22" s="214" t="s">
        <v>137</v>
      </c>
      <c r="B22" s="215"/>
      <c r="C22" s="215"/>
      <c r="D22" s="215"/>
      <c r="E22" s="215"/>
      <c r="F22" s="215"/>
      <c r="G22" s="215"/>
      <c r="H22" s="215"/>
      <c r="I22" s="215"/>
      <c r="J22" s="215"/>
      <c r="K22" s="215"/>
      <c r="L22" s="215"/>
      <c r="M22" s="215"/>
      <c r="N22" s="215"/>
    </row>
    <row r="24" spans="1:1" ht="23.5">
      <c r="A24" s="217"/>
    </row>
    <row r="25" spans="1:1" ht="23.5">
      <c r="A25" s="217"/>
    </row>
  </sheetData>
  <mergeCells count="1">
    <mergeCell ref="D9:N9"/>
  </mergeCells>
  <pageMargins left="0.708661417322835" right="0.708661417322835" top="0.748031496062992" bottom="0.748031496062992" header="0.31496062992126" footer="0.31496062992126"/>
  <pageSetup orientation="landscape" paperSize="9" scale="60" r:id="rId1"/>
  <customProperties>
    <customPr name="CUSTOMPROP:RWBOOKMARKNAME" r:id="rId2"/>
  </customPropertie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H62"/>
  <sheetViews>
    <sheetView showGridLines="0" workbookViewId="0" topLeftCell="A1">
      <pane xSplit="6" ySplit="32" topLeftCell="G33" activePane="bottomRight" state="frozen"/>
      <selection pane="topLeft" activeCell="C22" sqref="C22"/>
      <selection pane="bottomLeft" activeCell="C33" sqref="C33"/>
      <selection pane="topRight" activeCell="G22" sqref="G22"/>
      <selection pane="bottomRight" activeCell="D33" sqref="D33"/>
    </sheetView>
  </sheetViews>
  <sheetFormatPr defaultRowHeight="14.5"/>
  <cols>
    <col min="1" max="1" width="2.72727272727273" hidden="1" customWidth="1"/>
    <col min="2" max="2" width="16.2727272727273" hidden="1" customWidth="1"/>
    <col min="3" max="3" width="2.27272727272727" customWidth="1"/>
    <col min="4" max="4" width="10" customWidth="1"/>
    <col min="5" max="5" width="35.4545454545455" customWidth="1"/>
    <col min="6" max="6" width="14.4545454545455" customWidth="1"/>
    <col min="7" max="32" width="10.7272727272727" customWidth="1"/>
    <col min="33" max="33" width="12.2727272727273" customWidth="1"/>
    <col min="34" max="34" width="12.1818181818182" customWidth="1"/>
  </cols>
  <sheetData>
    <row r="1" spans="1:6" ht="14.5" hidden="1">
      <c r="A1" t="s">
        <v>12</v>
      </c>
      <c r="F1" s="222"/>
    </row>
    <row r="2" spans="1:34" ht="14.5" hidden="1">
      <c r="A2">
        <f>0</f>
        <v>0</v>
      </c>
      <c r="D2" s="68"/>
      <c r="F2" s="222"/>
      <c r="G2" s="225"/>
      <c r="H2" s="227"/>
      <c r="I2" s="225"/>
      <c r="J2" s="227"/>
      <c r="K2" s="225"/>
      <c r="L2" s="227"/>
      <c r="M2" s="225"/>
      <c r="N2" s="227"/>
      <c r="O2" s="225"/>
      <c r="P2" s="227"/>
      <c r="Q2" s="225"/>
      <c r="R2" s="227"/>
      <c r="S2" s="225"/>
      <c r="T2" s="227"/>
      <c r="U2" s="225"/>
      <c r="V2" s="227"/>
      <c r="W2" s="225"/>
      <c r="X2" s="227"/>
      <c r="Y2" s="225"/>
      <c r="Z2" s="227"/>
      <c r="AA2" s="225"/>
      <c r="AB2" s="227"/>
      <c r="AC2" s="225"/>
      <c r="AD2" s="227"/>
      <c r="AE2" s="232"/>
      <c r="AF2" s="233"/>
      <c r="AG2" s="234"/>
      <c r="AH2" s="233"/>
    </row>
    <row r="3" spans="1:34" ht="14.5" hidden="1">
      <c r="A3">
        <f>1</f>
        <v>1</v>
      </c>
      <c r="D3" s="68"/>
      <c r="F3" s="222"/>
      <c r="G3" s="225"/>
      <c r="H3" s="227"/>
      <c r="I3" s="225"/>
      <c r="J3" s="227"/>
      <c r="K3" s="225"/>
      <c r="L3" s="227"/>
      <c r="M3" s="225"/>
      <c r="N3" s="227"/>
      <c r="O3" s="225"/>
      <c r="P3" s="227"/>
      <c r="Q3" s="225"/>
      <c r="R3" s="227"/>
      <c r="S3" s="225"/>
      <c r="T3" s="227"/>
      <c r="U3" s="225"/>
      <c r="V3" s="227"/>
      <c r="W3" s="225"/>
      <c r="X3" s="227"/>
      <c r="Y3" s="225"/>
      <c r="Z3" s="227"/>
      <c r="AA3" s="225"/>
      <c r="AB3" s="227"/>
      <c r="AC3" s="225"/>
      <c r="AD3" s="227"/>
      <c r="AE3" s="232"/>
      <c r="AF3" s="233"/>
      <c r="AG3" s="234"/>
      <c r="AH3" s="233"/>
    </row>
    <row r="4" spans="1:34" ht="14.5" hidden="1">
      <c r="A4">
        <f>2</f>
        <v>2</v>
      </c>
      <c r="D4" s="68"/>
      <c r="F4" s="222"/>
      <c r="G4" s="225"/>
      <c r="H4" s="227"/>
      <c r="I4" s="225"/>
      <c r="J4" s="227"/>
      <c r="K4" s="225"/>
      <c r="L4" s="227"/>
      <c r="M4" s="225"/>
      <c r="N4" s="227"/>
      <c r="O4" s="225"/>
      <c r="P4" s="227"/>
      <c r="Q4" s="225"/>
      <c r="R4" s="227"/>
      <c r="S4" s="225"/>
      <c r="T4" s="227"/>
      <c r="U4" s="225"/>
      <c r="V4" s="227"/>
      <c r="W4" s="225"/>
      <c r="X4" s="227"/>
      <c r="Y4" s="225"/>
      <c r="Z4" s="227"/>
      <c r="AA4" s="225"/>
      <c r="AB4" s="227"/>
      <c r="AC4" s="225"/>
      <c r="AD4" s="227"/>
      <c r="AE4" s="232"/>
      <c r="AF4" s="233"/>
      <c r="AG4" s="234"/>
      <c r="AH4" s="233"/>
    </row>
    <row r="5" spans="1:34" ht="14.5" hidden="1">
      <c r="A5">
        <f>3</f>
        <v>3</v>
      </c>
      <c r="D5" s="68"/>
      <c r="F5" s="222"/>
      <c r="G5" s="225"/>
      <c r="H5" s="227"/>
      <c r="I5" s="225"/>
      <c r="J5" s="227"/>
      <c r="K5" s="225"/>
      <c r="L5" s="227"/>
      <c r="M5" s="225"/>
      <c r="N5" s="227"/>
      <c r="O5" s="225"/>
      <c r="P5" s="227"/>
      <c r="Q5" s="225"/>
      <c r="R5" s="227"/>
      <c r="S5" s="225"/>
      <c r="T5" s="227"/>
      <c r="U5" s="225"/>
      <c r="V5" s="227"/>
      <c r="W5" s="225"/>
      <c r="X5" s="227"/>
      <c r="Y5" s="225"/>
      <c r="Z5" s="227"/>
      <c r="AA5" s="225"/>
      <c r="AB5" s="227"/>
      <c r="AC5" s="225"/>
      <c r="AD5" s="227"/>
      <c r="AE5" s="232"/>
      <c r="AF5" s="233"/>
      <c r="AG5" s="234"/>
      <c r="AH5" s="233"/>
    </row>
    <row r="6" spans="1:34" ht="14.5" hidden="1">
      <c r="A6" t="s">
        <v>10</v>
      </c>
      <c r="D6" s="68"/>
      <c r="F6" s="222"/>
      <c r="G6" s="225"/>
      <c r="H6" s="227"/>
      <c r="I6" s="225"/>
      <c r="J6" s="227"/>
      <c r="K6" s="225"/>
      <c r="L6" s="227"/>
      <c r="M6" s="225"/>
      <c r="N6" s="227"/>
      <c r="O6" s="225"/>
      <c r="P6" s="227"/>
      <c r="Q6" s="225"/>
      <c r="R6" s="227"/>
      <c r="S6" s="225"/>
      <c r="T6" s="227"/>
      <c r="U6" s="225"/>
      <c r="V6" s="227"/>
      <c r="W6" s="225"/>
      <c r="X6" s="227"/>
      <c r="Y6" s="225"/>
      <c r="Z6" s="227"/>
      <c r="AA6" s="225"/>
      <c r="AB6" s="227"/>
      <c r="AC6" s="225"/>
      <c r="AD6" s="227"/>
      <c r="AE6" s="232"/>
      <c r="AF6" s="233"/>
      <c r="AG6" s="234"/>
      <c r="AH6" s="233"/>
    </row>
    <row r="7" spans="1:34" ht="14.5" hidden="1">
      <c r="A7" t="s">
        <v>11</v>
      </c>
      <c r="D7" s="68"/>
      <c r="F7" s="222"/>
      <c r="G7" s="225"/>
      <c r="H7" s="227"/>
      <c r="I7" s="225"/>
      <c r="J7" s="227"/>
      <c r="K7" s="225"/>
      <c r="L7" s="227"/>
      <c r="M7" s="225"/>
      <c r="N7" s="227"/>
      <c r="O7" s="225"/>
      <c r="P7" s="227"/>
      <c r="Q7" s="225"/>
      <c r="R7" s="227"/>
      <c r="S7" s="225"/>
      <c r="T7" s="227"/>
      <c r="U7" s="225"/>
      <c r="V7" s="227"/>
      <c r="W7" s="225"/>
      <c r="X7" s="227"/>
      <c r="Y7" s="225"/>
      <c r="Z7" s="227"/>
      <c r="AA7" s="225"/>
      <c r="AB7" s="227"/>
      <c r="AC7" s="225"/>
      <c r="AD7" s="227"/>
      <c r="AE7" s="232"/>
      <c r="AF7" s="233"/>
      <c r="AG7" s="234"/>
      <c r="AH7" s="233"/>
    </row>
    <row r="8" spans="1:34" ht="14.5" hidden="1">
      <c r="A8" t="s">
        <v>106</v>
      </c>
      <c r="D8" s="146"/>
      <c r="E8" s="117"/>
      <c r="F8" s="231"/>
      <c r="G8" s="228"/>
      <c r="H8" s="230"/>
      <c r="I8" s="228"/>
      <c r="J8" s="230"/>
      <c r="K8" s="228"/>
      <c r="L8" s="230"/>
      <c r="M8" s="228"/>
      <c r="N8" s="230"/>
      <c r="O8" s="228"/>
      <c r="P8" s="230"/>
      <c r="Q8" s="228"/>
      <c r="R8" s="230"/>
      <c r="S8" s="228"/>
      <c r="T8" s="230"/>
      <c r="U8" s="228"/>
      <c r="V8" s="230"/>
      <c r="W8" s="228"/>
      <c r="X8" s="230"/>
      <c r="Y8" s="228"/>
      <c r="Z8" s="230"/>
      <c r="AA8" s="228"/>
      <c r="AB8" s="230"/>
      <c r="AC8" s="228"/>
      <c r="AD8" s="230"/>
      <c r="AE8" s="235"/>
      <c r="AF8" s="236"/>
      <c r="AG8" s="237"/>
      <c r="AH8" s="236"/>
    </row>
    <row r="9" spans="1:1" ht="14.5" hidden="1">
      <c r="A9" t="s">
        <v>13</v>
      </c>
    </row>
    <row r="10" spans="2:2" ht="14.5" hidden="1">
      <c r="B10" t="s">
        <v>483</v>
      </c>
    </row>
    <row r="11" spans="2:9" ht="14.5" hidden="1">
      <c r="B11" s="18" t="s">
        <v>0</v>
      </c>
      <c r="C11" s="18"/>
      <c r="D11" s="18" t="s">
        <v>152</v>
      </c>
      <c r="E11" s="1"/>
      <c r="F11" s="1"/>
      <c r="H11" t="s">
        <v>18</v>
      </c>
      <c r="I11" t="s">
        <v>272</v>
      </c>
    </row>
    <row r="12" spans="2:9" ht="14.5" hidden="1">
      <c r="B12" s="18" t="s">
        <v>1</v>
      </c>
      <c r="C12" s="18"/>
      <c r="D12" s="18" t="s">
        <v>246</v>
      </c>
      <c r="E12" s="1"/>
      <c r="F12" s="1"/>
      <c r="H12" s="1" t="s">
        <v>77</v>
      </c>
      <c r="I12" t="s">
        <v>16</v>
      </c>
    </row>
    <row r="13" spans="2:6" ht="14.5" hidden="1">
      <c r="B13" s="18" t="s">
        <v>50</v>
      </c>
      <c r="C13" s="18"/>
      <c r="D13" s="18" t="s">
        <v>8</v>
      </c>
      <c r="E13" s="1"/>
      <c r="F13" s="1"/>
    </row>
    <row r="14" spans="2:6" ht="14.5" hidden="1">
      <c r="B14" s="18" t="s">
        <v>21</v>
      </c>
      <c r="C14" s="18"/>
      <c r="D14" s="18" t="s">
        <v>271</v>
      </c>
      <c r="E14" s="1"/>
      <c r="F14" s="1"/>
    </row>
    <row r="15" spans="2:6" ht="14.5" hidden="1">
      <c r="B15" s="18" t="s">
        <v>4</v>
      </c>
      <c r="C15" s="18"/>
      <c r="D15" s="18" t="s">
        <v>273</v>
      </c>
      <c r="E15" s="1"/>
      <c r="F15" s="1"/>
    </row>
    <row r="16" spans="2:6" ht="14.5" hidden="1">
      <c r="B16" s="18" t="s">
        <v>3</v>
      </c>
      <c r="C16" s="18"/>
      <c r="D16" s="18" t="s">
        <v>276</v>
      </c>
      <c r="E16" s="1"/>
      <c r="F16" s="1"/>
    </row>
    <row r="17" spans="2:6" ht="14.5" hidden="1">
      <c r="B17" s="18" t="s">
        <v>6</v>
      </c>
      <c r="C17" s="18"/>
      <c r="D17" s="18" t="str">
        <f ca="1">Master!$A$24</f>
        <v>MERCI</v>
      </c>
      <c r="E17" s="1"/>
      <c r="F17" s="1"/>
    </row>
    <row r="18" spans="2:6" ht="14.5" hidden="1">
      <c r="B18" s="18" t="s">
        <v>7</v>
      </c>
      <c r="C18" s="18"/>
      <c r="D18" s="18" t="s">
        <v>133</v>
      </c>
      <c r="E18" s="1"/>
      <c r="F18" s="1"/>
    </row>
    <row r="19" spans="2:7" ht="14.5" hidden="1">
      <c r="B19" s="18" t="s">
        <v>67</v>
      </c>
      <c r="C19" s="18"/>
      <c r="D19" s="18" t="str">
        <f ca="1">Master!$A$25</f>
        <v>YTD 2025.M12</v>
      </c>
      <c r="E19" s="41" t="str">
        <f ca="1">"YTD "&amp;(D20-1)&amp;"."&amp;RIGHT(D19,3)</f>
        <v>YTD 2024.M12</v>
      </c>
      <c r="F19" s="18" t="str">
        <f ca="1">MID(D19,5,8)</f>
        <v>2025.M12</v>
      </c>
      <c r="G19" s="18" t="s">
        <v>268</v>
      </c>
    </row>
    <row r="20" spans="2:4" ht="14.5" hidden="1">
      <c r="B20" s="18" t="s">
        <v>15</v>
      </c>
      <c r="C20" s="18"/>
      <c r="D20" s="18" t="str">
        <f ca="1">MID(D19,5,4)</f>
        <v>2025</v>
      </c>
    </row>
    <row r="21" spans="2:4" ht="14.5" hidden="1">
      <c r="B21" s="18" t="s">
        <v>71</v>
      </c>
      <c r="C21" s="18"/>
      <c r="D21" s="18" t="s">
        <v>484</v>
      </c>
    </row>
    <row r="23" spans="4:34" ht="14.5">
      <c r="D23" s="6" t="s">
        <v>48</v>
      </c>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6" t="str">
        <f ca="1">D17</f>
        <v>MERCI</v>
      </c>
    </row>
    <row r="24" spans="4:34" ht="14.5">
      <c r="D24" s="40" t="s">
        <v>75</v>
      </c>
      <c r="AH24" s="1" t="str">
        <f ca="1">G19&amp;" "&amp;D20</f>
        <v>December 2025</v>
      </c>
    </row>
    <row r="25" spans="4:34" ht="14.5">
      <c r="D25" s="1"/>
      <c r="AH25" s="1"/>
    </row>
    <row r="26" spans="4:4" ht="14.5" hidden="1">
      <c r="D26" s="1" t="s">
        <v>76</v>
      </c>
    </row>
    <row r="27" spans="4:30" ht="14.5" hidden="1">
      <c r="D27" s="1" t="s">
        <v>68</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row>
    <row r="28" spans="7:34" ht="14.5" hidden="1">
      <c r="G28" s="52" t="str">
        <f ca="1">$D$20&amp;".M01"</f>
        <v>2025.M01</v>
      </c>
      <c r="H28" s="52" t="str">
        <f ca="1">$D$20&amp;".M01"</f>
        <v>2025.M01</v>
      </c>
      <c r="I28" s="52" t="str">
        <f ca="1">$D$20&amp;".M02"</f>
        <v>2025.M02</v>
      </c>
      <c r="J28" s="52" t="str">
        <f ca="1">$D$20&amp;".M02"</f>
        <v>2025.M02</v>
      </c>
      <c r="K28" s="52" t="str">
        <f ca="1">$D$20&amp;".M03"</f>
        <v>2025.M03</v>
      </c>
      <c r="L28" s="52" t="str">
        <f ca="1">$D$20&amp;".M03"</f>
        <v>2025.M03</v>
      </c>
      <c r="M28" s="52" t="str">
        <f ca="1">$D$20&amp;".M04"</f>
        <v>2025.M04</v>
      </c>
      <c r="N28" s="52" t="str">
        <f ca="1">$D$20&amp;".M04"</f>
        <v>2025.M04</v>
      </c>
      <c r="O28" s="52" t="str">
        <f ca="1">$D$20&amp;".M05"</f>
        <v>2025.M05</v>
      </c>
      <c r="P28" s="52" t="str">
        <f ca="1">$D$20&amp;".M05"</f>
        <v>2025.M05</v>
      </c>
      <c r="Q28" s="52" t="str">
        <f ca="1">$D$20&amp;".M06"</f>
        <v>2025.M06</v>
      </c>
      <c r="R28" s="52" t="str">
        <f ca="1">$D$20&amp;".M06"</f>
        <v>2025.M06</v>
      </c>
      <c r="S28" s="52" t="str">
        <f ca="1">$D$20&amp;".M07"</f>
        <v>2025.M07</v>
      </c>
      <c r="T28" s="52" t="str">
        <f ca="1">$D$20&amp;".M07"</f>
        <v>2025.M07</v>
      </c>
      <c r="U28" s="52" t="str">
        <f ca="1">$D$20&amp;".M08"</f>
        <v>2025.M08</v>
      </c>
      <c r="V28" s="52" t="str">
        <f ca="1">$D$20&amp;".M08"</f>
        <v>2025.M08</v>
      </c>
      <c r="W28" s="52" t="str">
        <f ca="1">$D$20&amp;".M09"</f>
        <v>2025.M09</v>
      </c>
      <c r="X28" s="52" t="str">
        <f ca="1">$D$20&amp;".M09"</f>
        <v>2025.M09</v>
      </c>
      <c r="Y28" s="52" t="str">
        <f ca="1">$D$20&amp;".M10"</f>
        <v>2025.M10</v>
      </c>
      <c r="Z28" s="52" t="str">
        <f ca="1">$D$20&amp;".M10"</f>
        <v>2025.M10</v>
      </c>
      <c r="AA28" s="52" t="str">
        <f ca="1">$D$20&amp;".M11"</f>
        <v>2025.M11</v>
      </c>
      <c r="AB28" s="52" t="str">
        <f ca="1">$D$20&amp;".M11"</f>
        <v>2025.M11</v>
      </c>
      <c r="AC28" s="52" t="str">
        <f ca="1">$D$20&amp;".M12"</f>
        <v>2025.M12</v>
      </c>
      <c r="AD28" s="52" t="str">
        <f ca="1">$D$20&amp;".M12"</f>
        <v>2025.M12</v>
      </c>
      <c r="AE28" s="52" t="str">
        <f ca="1">$D$19</f>
        <v>YTD 2025.M12</v>
      </c>
      <c r="AF28" s="52" t="str">
        <f ca="1">$D$19</f>
        <v>YTD 2025.M12</v>
      </c>
      <c r="AG28" s="52" t="str">
        <f ca="1">$D$19</f>
        <v>YTD 2025.M12</v>
      </c>
      <c r="AH28" s="52" t="str">
        <f ca="1">$D$19</f>
        <v>YTD 2025.M12</v>
      </c>
    </row>
    <row r="29" spans="7:34" ht="14.5" hidden="1">
      <c r="G29" s="52" t="s">
        <v>49</v>
      </c>
      <c r="H29" s="52" t="s">
        <v>45</v>
      </c>
      <c r="I29" s="52" t="s">
        <v>49</v>
      </c>
      <c r="J29" s="52" t="s">
        <v>45</v>
      </c>
      <c r="K29" s="52" t="s">
        <v>49</v>
      </c>
      <c r="L29" s="52" t="s">
        <v>45</v>
      </c>
      <c r="M29" s="52" t="s">
        <v>49</v>
      </c>
      <c r="N29" s="52" t="s">
        <v>45</v>
      </c>
      <c r="O29" s="52" t="s">
        <v>49</v>
      </c>
      <c r="P29" s="52" t="s">
        <v>45</v>
      </c>
      <c r="Q29" s="52" t="s">
        <v>49</v>
      </c>
      <c r="R29" s="52" t="s">
        <v>45</v>
      </c>
      <c r="S29" s="52" t="s">
        <v>49</v>
      </c>
      <c r="T29" s="52" t="s">
        <v>45</v>
      </c>
      <c r="U29" s="52" t="s">
        <v>49</v>
      </c>
      <c r="V29" s="52" t="s">
        <v>45</v>
      </c>
      <c r="W29" s="52" t="s">
        <v>49</v>
      </c>
      <c r="X29" s="52" t="s">
        <v>45</v>
      </c>
      <c r="Y29" s="52" t="s">
        <v>49</v>
      </c>
      <c r="Z29" s="52" t="s">
        <v>45</v>
      </c>
      <c r="AA29" s="52" t="s">
        <v>49</v>
      </c>
      <c r="AB29" s="52" t="s">
        <v>45</v>
      </c>
      <c r="AC29" s="52" t="s">
        <v>49</v>
      </c>
      <c r="AD29" s="52" t="s">
        <v>45</v>
      </c>
      <c r="AE29" s="52" t="s">
        <v>49</v>
      </c>
      <c r="AF29" s="52" t="s">
        <v>72</v>
      </c>
      <c r="AG29" s="52" t="s">
        <v>45</v>
      </c>
      <c r="AH29" s="52" t="s">
        <v>74</v>
      </c>
    </row>
    <row r="30" spans="4:34" ht="33" customHeight="1">
      <c r="D30" s="188" t="s">
        <v>52</v>
      </c>
      <c r="E30" s="189" t="s">
        <v>53</v>
      </c>
      <c r="F30" s="71" t="s">
        <v>70</v>
      </c>
      <c r="G30" s="310" t="s">
        <v>267</v>
      </c>
      <c r="H30" s="310"/>
      <c r="I30" s="309" t="s">
        <v>244</v>
      </c>
      <c r="J30" s="310"/>
      <c r="K30" s="309" t="s">
        <v>269</v>
      </c>
      <c r="L30" s="310"/>
      <c r="M30" s="309" t="s">
        <v>242</v>
      </c>
      <c r="N30" s="310"/>
      <c r="O30" s="309" t="s">
        <v>264</v>
      </c>
      <c r="P30" s="310"/>
      <c r="Q30" s="309" t="s">
        <v>266</v>
      </c>
      <c r="R30" s="310"/>
      <c r="S30" s="309" t="s">
        <v>386</v>
      </c>
      <c r="T30" s="310"/>
      <c r="U30" s="309" t="s">
        <v>387</v>
      </c>
      <c r="V30" s="310"/>
      <c r="W30" s="309" t="s">
        <v>388</v>
      </c>
      <c r="X30" s="310"/>
      <c r="Y30" s="309" t="s">
        <v>389</v>
      </c>
      <c r="Z30" s="310"/>
      <c r="AA30" s="309" t="s">
        <v>390</v>
      </c>
      <c r="AB30" s="310"/>
      <c r="AC30" s="309" t="s">
        <v>391</v>
      </c>
      <c r="AD30" s="310"/>
      <c r="AE30" s="301" t="str">
        <f ca="1">LEFT(AE28,8)</f>
        <v>YTD 2025</v>
      </c>
      <c r="AF30" s="307"/>
      <c r="AG30" s="307"/>
      <c r="AH30" s="308"/>
    </row>
    <row r="31" spans="4:34" ht="14.5">
      <c r="D31" s="187"/>
      <c r="E31" s="185"/>
      <c r="F31" s="186"/>
      <c r="G31" s="305">
        <v>4</v>
      </c>
      <c r="H31" s="306"/>
      <c r="I31" s="306">
        <v>4</v>
      </c>
      <c r="J31" s="306"/>
      <c r="K31" s="306">
        <v>5</v>
      </c>
      <c r="L31" s="306"/>
      <c r="M31" s="306">
        <v>4</v>
      </c>
      <c r="N31" s="306"/>
      <c r="O31" s="306">
        <v>4</v>
      </c>
      <c r="P31" s="306"/>
      <c r="Q31" s="306">
        <v>5</v>
      </c>
      <c r="R31" s="306"/>
      <c r="S31" s="306">
        <v>4</v>
      </c>
      <c r="T31" s="306"/>
      <c r="U31" s="306">
        <v>4</v>
      </c>
      <c r="V31" s="306"/>
      <c r="W31" s="306">
        <v>5</v>
      </c>
      <c r="X31" s="306"/>
      <c r="Y31" s="306">
        <v>4</v>
      </c>
      <c r="Z31" s="306"/>
      <c r="AA31" s="306">
        <v>4</v>
      </c>
      <c r="AB31" s="306"/>
      <c r="AC31" s="306">
        <v>5</v>
      </c>
      <c r="AD31" s="306"/>
      <c r="AE31" s="311">
        <v>52</v>
      </c>
      <c r="AF31" s="311"/>
      <c r="AG31" s="311"/>
      <c r="AH31" s="312"/>
    </row>
    <row r="32" spans="4:34" ht="14.5">
      <c r="D32" s="72"/>
      <c r="E32" s="73"/>
      <c r="F32" s="74"/>
      <c r="G32" s="96" t="s">
        <v>36</v>
      </c>
      <c r="H32" s="96" t="s">
        <v>69</v>
      </c>
      <c r="I32" s="96" t="s">
        <v>36</v>
      </c>
      <c r="J32" s="96" t="s">
        <v>69</v>
      </c>
      <c r="K32" s="96" t="s">
        <v>36</v>
      </c>
      <c r="L32" s="96" t="s">
        <v>69</v>
      </c>
      <c r="M32" s="96" t="s">
        <v>36</v>
      </c>
      <c r="N32" s="96" t="s">
        <v>69</v>
      </c>
      <c r="O32" s="96" t="s">
        <v>36</v>
      </c>
      <c r="P32" s="96" t="s">
        <v>69</v>
      </c>
      <c r="Q32" s="96" t="s">
        <v>36</v>
      </c>
      <c r="R32" s="96" t="s">
        <v>69</v>
      </c>
      <c r="S32" s="96" t="s">
        <v>36</v>
      </c>
      <c r="T32" s="96" t="s">
        <v>69</v>
      </c>
      <c r="U32" s="96" t="s">
        <v>36</v>
      </c>
      <c r="V32" s="96" t="s">
        <v>69</v>
      </c>
      <c r="W32" s="96" t="s">
        <v>36</v>
      </c>
      <c r="X32" s="96" t="s">
        <v>69</v>
      </c>
      <c r="Y32" s="96" t="s">
        <v>36</v>
      </c>
      <c r="Z32" s="96" t="s">
        <v>69</v>
      </c>
      <c r="AA32" s="96" t="s">
        <v>36</v>
      </c>
      <c r="AB32" s="96" t="s">
        <v>69</v>
      </c>
      <c r="AC32" s="96" t="s">
        <v>36</v>
      </c>
      <c r="AD32" s="96" t="s">
        <v>69</v>
      </c>
      <c r="AE32" s="96" t="s">
        <v>36</v>
      </c>
      <c r="AF32" s="96" t="s">
        <v>73</v>
      </c>
      <c r="AG32" s="96" t="s">
        <v>69</v>
      </c>
      <c r="AH32" s="96" t="s">
        <v>57</v>
      </c>
    </row>
    <row r="33" spans="1:34" ht="14.5">
      <c r="A33" t="s">
        <v>11</v>
      </c>
      <c r="B33" t="s">
        <v>419</v>
      </c>
      <c r="D33" s="68">
        <f>D32+1</f>
        <v>1</v>
      </c>
      <c r="E33" t="s">
        <v>420</v>
      </c>
      <c r="F33" s="222" t="s">
        <v>421</v>
      </c>
      <c r="G33" s="225">
        <v>1686</v>
      </c>
      <c r="H33" s="227">
        <v>21498.960000000003</v>
      </c>
      <c r="I33" s="225">
        <v>1558</v>
      </c>
      <c r="J33" s="227">
        <v>19900.399999999998</v>
      </c>
      <c r="K33" s="225">
        <v>1777</v>
      </c>
      <c r="L33" s="227">
        <v>22700.559999999998</v>
      </c>
      <c r="M33" s="225">
        <v>1703</v>
      </c>
      <c r="N33" s="227">
        <v>21840.519999999997</v>
      </c>
      <c r="O33" s="225">
        <v>1319</v>
      </c>
      <c r="P33" s="227">
        <v>16820.98</v>
      </c>
      <c r="Q33" s="225">
        <v>1593</v>
      </c>
      <c r="R33" s="227">
        <v>20492.759999999998</v>
      </c>
      <c r="S33" s="225">
        <v>1485</v>
      </c>
      <c r="T33" s="227">
        <v>19230.679999999993</v>
      </c>
      <c r="U33" s="225">
        <v>1329</v>
      </c>
      <c r="V33" s="227">
        <v>17219.739999999998</v>
      </c>
      <c r="W33" s="225">
        <v>1306</v>
      </c>
      <c r="X33" s="227">
        <v>17438.930000000004</v>
      </c>
      <c r="Y33" s="225">
        <v>1005</v>
      </c>
      <c r="Z33" s="227">
        <v>13885.649999999996</v>
      </c>
      <c r="AA33" s="225">
        <v>892</v>
      </c>
      <c r="AB33" s="227">
        <v>12340.41</v>
      </c>
      <c r="AC33" s="225">
        <v>2088</v>
      </c>
      <c r="AD33" s="227">
        <v>28947.300000000007</v>
      </c>
      <c r="AE33" s="232">
        <v>17741</v>
      </c>
      <c r="AF33" s="233">
        <v>0.37828098680142436</v>
      </c>
      <c r="AG33" s="234">
        <v>232316.88999999998</v>
      </c>
      <c r="AH33" s="233">
        <v>0.43532072747654466</v>
      </c>
    </row>
    <row r="34" spans="1:34" ht="14.5">
      <c r="A34" t="s">
        <v>11</v>
      </c>
      <c r="B34" t="s">
        <v>353</v>
      </c>
      <c r="D34" s="68">
        <f>D33+1</f>
        <v>2</v>
      </c>
      <c r="E34" t="s">
        <v>422</v>
      </c>
      <c r="F34" s="222" t="s">
        <v>423</v>
      </c>
      <c r="G34" s="225">
        <v>1050</v>
      </c>
      <c r="H34" s="227">
        <v>5333.0599999999995</v>
      </c>
      <c r="I34" s="225">
        <v>882</v>
      </c>
      <c r="J34" s="227">
        <v>4438.21</v>
      </c>
      <c r="K34" s="225">
        <v>922</v>
      </c>
      <c r="L34" s="227">
        <v>4641.46</v>
      </c>
      <c r="M34" s="225">
        <v>911</v>
      </c>
      <c r="N34" s="227">
        <v>4613.6599999999999</v>
      </c>
      <c r="O34" s="225">
        <v>811</v>
      </c>
      <c r="P34" s="227">
        <v>4225.3800000000001</v>
      </c>
      <c r="Q34" s="225">
        <v>1013</v>
      </c>
      <c r="R34" s="227">
        <v>6111.7800000000007</v>
      </c>
      <c r="S34" s="225">
        <v>282</v>
      </c>
      <c r="T34" s="227">
        <v>1701.1300000000001</v>
      </c>
      <c r="U34" s="225">
        <v>109</v>
      </c>
      <c r="V34" s="227">
        <v>653.98000000000002</v>
      </c>
      <c r="W34" s="225">
        <v>88</v>
      </c>
      <c r="X34" s="227">
        <v>539.38999999999999</v>
      </c>
      <c r="Y34" s="225">
        <v>11</v>
      </c>
      <c r="Z34" s="227">
        <v>65.040000000000006</v>
      </c>
      <c r="AA34" s="225">
        <v>2</v>
      </c>
      <c r="AB34" s="227">
        <v>12</v>
      </c>
      <c r="AC34" s="225">
        <v>12</v>
      </c>
      <c r="AD34" s="227">
        <v>72</v>
      </c>
      <c r="AE34" s="232">
        <v>6093</v>
      </c>
      <c r="AF34" s="233">
        <v>0.12991748224908847</v>
      </c>
      <c r="AG34" s="234">
        <v>32407.090000000004</v>
      </c>
      <c r="AH34" s="233">
        <v>0.060725150006088059</v>
      </c>
    </row>
    <row r="35" spans="1:34" ht="14.5">
      <c r="A35" t="s">
        <v>11</v>
      </c>
      <c r="B35" t="s">
        <v>354</v>
      </c>
      <c r="D35" s="68">
        <f>D34+1</f>
        <v>3</v>
      </c>
      <c r="E35" t="s">
        <v>424</v>
      </c>
      <c r="F35" s="222" t="s">
        <v>425</v>
      </c>
      <c r="G35" s="225">
        <v>917</v>
      </c>
      <c r="H35" s="227">
        <v>4666.3899999999994</v>
      </c>
      <c r="I35" s="225">
        <v>706</v>
      </c>
      <c r="J35" s="227">
        <v>3566.9300000000003</v>
      </c>
      <c r="K35" s="225">
        <v>867</v>
      </c>
      <c r="L35" s="227">
        <v>4328.0500000000002</v>
      </c>
      <c r="M35" s="225">
        <v>779</v>
      </c>
      <c r="N35" s="227">
        <v>3928.9400000000001</v>
      </c>
      <c r="O35" s="225">
        <v>524</v>
      </c>
      <c r="P35" s="227">
        <v>2676.2700000000004</v>
      </c>
      <c r="Q35" s="225">
        <v>260</v>
      </c>
      <c r="R35" s="227">
        <v>1569.8099999999999</v>
      </c>
      <c r="S35" s="225">
        <v>73</v>
      </c>
      <c r="T35" s="227">
        <v>439.79000000000002</v>
      </c>
      <c r="U35" s="225">
        <v>34</v>
      </c>
      <c r="V35" s="227">
        <v>205.92000000000002</v>
      </c>
      <c r="W35" s="225">
        <v>4</v>
      </c>
      <c r="X35" s="227">
        <v>21.600000000000001</v>
      </c>
      <c r="Y35" s="225">
        <v>0</v>
      </c>
      <c r="Z35" s="227">
        <v>0</v>
      </c>
      <c r="AA35" s="225">
        <v>0</v>
      </c>
      <c r="AB35" s="227">
        <v>0</v>
      </c>
      <c r="AC35" s="225">
        <v>1</v>
      </c>
      <c r="AD35" s="227">
        <v>6</v>
      </c>
      <c r="AE35" s="232">
        <v>4165</v>
      </c>
      <c r="AF35" s="233">
        <v>0.088807863707115284</v>
      </c>
      <c r="AG35" s="234">
        <v>21409.699999999997</v>
      </c>
      <c r="AH35" s="233">
        <v>0.040117987887383383</v>
      </c>
    </row>
    <row r="36" spans="1:34" ht="14.5">
      <c r="A36" t="s">
        <v>11</v>
      </c>
      <c r="B36" t="s">
        <v>355</v>
      </c>
      <c r="D36" s="68">
        <f>D35+1</f>
        <v>4</v>
      </c>
      <c r="E36" t="s">
        <v>426</v>
      </c>
      <c r="F36" s="222" t="s">
        <v>427</v>
      </c>
      <c r="G36" s="225">
        <v>325</v>
      </c>
      <c r="H36" s="227">
        <v>4541.5799999999999</v>
      </c>
      <c r="I36" s="225">
        <v>70</v>
      </c>
      <c r="J36" s="227">
        <v>959.60000000000002</v>
      </c>
      <c r="K36" s="225">
        <v>21</v>
      </c>
      <c r="L36" s="227">
        <v>288.39999999999998</v>
      </c>
      <c r="M36" s="225">
        <v>0</v>
      </c>
      <c r="N36" s="227">
        <v>0</v>
      </c>
      <c r="O36" s="225">
        <v>290</v>
      </c>
      <c r="P36" s="227">
        <v>3996</v>
      </c>
      <c r="Q36" s="225">
        <v>274</v>
      </c>
      <c r="R36" s="227">
        <v>4099.0699999999997</v>
      </c>
      <c r="S36" s="225">
        <v>242</v>
      </c>
      <c r="T36" s="227">
        <v>3598.6900000000001</v>
      </c>
      <c r="U36" s="225">
        <v>232</v>
      </c>
      <c r="V36" s="227">
        <v>3472.8800000000001</v>
      </c>
      <c r="W36" s="225">
        <v>345</v>
      </c>
      <c r="X36" s="227">
        <v>5141.5699999999997</v>
      </c>
      <c r="Y36" s="225">
        <v>313</v>
      </c>
      <c r="Z36" s="227">
        <v>4704.5900000000001</v>
      </c>
      <c r="AA36" s="225">
        <v>254</v>
      </c>
      <c r="AB36" s="227">
        <v>3845.7399999999998</v>
      </c>
      <c r="AC36" s="225">
        <v>371</v>
      </c>
      <c r="AD36" s="227">
        <v>5591.0500000000002</v>
      </c>
      <c r="AE36" s="232">
        <v>2737</v>
      </c>
      <c r="AF36" s="233">
        <v>0.058359453293247189</v>
      </c>
      <c r="AG36" s="234">
        <v>40239.170000000006</v>
      </c>
      <c r="AH36" s="233">
        <v>0.075401081503167322</v>
      </c>
    </row>
    <row r="37" spans="1:34" ht="14.5">
      <c r="A37" t="s">
        <v>11</v>
      </c>
      <c r="B37" t="s">
        <v>356</v>
      </c>
      <c r="D37" s="68">
        <f>D36+1</f>
        <v>5</v>
      </c>
      <c r="E37" t="s">
        <v>428</v>
      </c>
      <c r="F37" s="222" t="s">
        <v>429</v>
      </c>
      <c r="G37" s="225">
        <v>715</v>
      </c>
      <c r="H37" s="227">
        <v>3634.1799999999998</v>
      </c>
      <c r="I37" s="225">
        <v>523</v>
      </c>
      <c r="J37" s="227">
        <v>2637.0100000000002</v>
      </c>
      <c r="K37" s="225">
        <v>626</v>
      </c>
      <c r="L37" s="227">
        <v>3151.75</v>
      </c>
      <c r="M37" s="225">
        <v>284</v>
      </c>
      <c r="N37" s="227">
        <v>1441.75</v>
      </c>
      <c r="O37" s="225">
        <v>89</v>
      </c>
      <c r="P37" s="227">
        <v>456.99000000000001</v>
      </c>
      <c r="Q37" s="225">
        <v>74</v>
      </c>
      <c r="R37" s="227">
        <v>445.5</v>
      </c>
      <c r="S37" s="225">
        <v>31</v>
      </c>
      <c r="T37" s="227">
        <v>185.17000000000002</v>
      </c>
      <c r="U37" s="225">
        <v>6</v>
      </c>
      <c r="V37" s="227">
        <v>33.600000000000001</v>
      </c>
      <c r="W37" s="225">
        <v>0</v>
      </c>
      <c r="X37" s="227">
        <v>0</v>
      </c>
      <c r="Y37" s="225">
        <v>1</v>
      </c>
      <c r="Z37" s="227">
        <v>6.4800000000000004</v>
      </c>
      <c r="AA37" s="225">
        <v>-1</v>
      </c>
      <c r="AB37" s="227">
        <v>-6</v>
      </c>
      <c r="AC37" s="225">
        <v>0</v>
      </c>
      <c r="AD37" s="227">
        <v>0</v>
      </c>
      <c r="AE37" s="232">
        <v>2348</v>
      </c>
      <c r="AF37" s="233">
        <v>0.050065033369581444</v>
      </c>
      <c r="AG37" s="234">
        <v>11986.43</v>
      </c>
      <c r="AH37" s="233">
        <v>0.022460448000344187</v>
      </c>
    </row>
    <row r="38" spans="1:34" ht="14.5">
      <c r="A38" t="s">
        <v>11</v>
      </c>
      <c r="B38" t="s">
        <v>357</v>
      </c>
      <c r="D38" s="68">
        <f>D37+1</f>
        <v>6</v>
      </c>
      <c r="E38" t="s">
        <v>430</v>
      </c>
      <c r="F38" s="222" t="s">
        <v>431</v>
      </c>
      <c r="G38" s="225">
        <v>370</v>
      </c>
      <c r="H38" s="227">
        <v>1883.1700000000001</v>
      </c>
      <c r="I38" s="225">
        <v>253</v>
      </c>
      <c r="J38" s="227">
        <v>1273.9300000000001</v>
      </c>
      <c r="K38" s="225">
        <v>315</v>
      </c>
      <c r="L38" s="227">
        <v>1581.55</v>
      </c>
      <c r="M38" s="225">
        <v>320</v>
      </c>
      <c r="N38" s="227">
        <v>1618.3699999999999</v>
      </c>
      <c r="O38" s="225">
        <v>296</v>
      </c>
      <c r="P38" s="227">
        <v>1517.1500000000001</v>
      </c>
      <c r="Q38" s="225">
        <v>398</v>
      </c>
      <c r="R38" s="227">
        <v>2395.23</v>
      </c>
      <c r="S38" s="225">
        <v>195</v>
      </c>
      <c r="T38" s="227">
        <v>1187.79</v>
      </c>
      <c r="U38" s="225">
        <v>60</v>
      </c>
      <c r="V38" s="227">
        <v>368.14999999999998</v>
      </c>
      <c r="W38" s="225">
        <v>68</v>
      </c>
      <c r="X38" s="227">
        <v>419.00999999999999</v>
      </c>
      <c r="Y38" s="225">
        <v>8</v>
      </c>
      <c r="Z38" s="227">
        <v>48</v>
      </c>
      <c r="AA38" s="225">
        <v>4</v>
      </c>
      <c r="AB38" s="227">
        <v>24</v>
      </c>
      <c r="AC38" s="225">
        <v>10</v>
      </c>
      <c r="AD38" s="227">
        <v>58.079999999999998</v>
      </c>
      <c r="AE38" s="232">
        <v>2297</v>
      </c>
      <c r="AF38" s="233">
        <v>0.048977590140514726</v>
      </c>
      <c r="AG38" s="234">
        <v>12374.429999999998</v>
      </c>
      <c r="AH38" s="233">
        <v>0.023187491317172758</v>
      </c>
    </row>
    <row r="39" spans="1:34" ht="14.5">
      <c r="A39" t="s">
        <v>11</v>
      </c>
      <c r="B39" t="s">
        <v>358</v>
      </c>
      <c r="D39" s="68">
        <f>D38+1</f>
        <v>7</v>
      </c>
      <c r="E39" t="s">
        <v>432</v>
      </c>
      <c r="F39" s="222" t="s">
        <v>433</v>
      </c>
      <c r="G39" s="225">
        <v>41</v>
      </c>
      <c r="H39" s="227">
        <v>656.74000000000001</v>
      </c>
      <c r="I39" s="225">
        <v>95</v>
      </c>
      <c r="J39" s="227">
        <v>1521.8599999999999</v>
      </c>
      <c r="K39" s="225">
        <v>121</v>
      </c>
      <c r="L39" s="227">
        <v>1924.3699999999999</v>
      </c>
      <c r="M39" s="225">
        <v>97</v>
      </c>
      <c r="N39" s="227">
        <v>1546.8099999999999</v>
      </c>
      <c r="O39" s="225">
        <v>102</v>
      </c>
      <c r="P39" s="227">
        <v>1616.4300000000001</v>
      </c>
      <c r="Q39" s="225">
        <v>141</v>
      </c>
      <c r="R39" s="227">
        <v>2251.8099999999999</v>
      </c>
      <c r="S39" s="225">
        <v>160</v>
      </c>
      <c r="T39" s="227">
        <v>2553.1799999999998</v>
      </c>
      <c r="U39" s="225">
        <v>127</v>
      </c>
      <c r="V39" s="227">
        <v>2024</v>
      </c>
      <c r="W39" s="225">
        <v>209</v>
      </c>
      <c r="X39" s="227">
        <v>3409.5999999999999</v>
      </c>
      <c r="Y39" s="225">
        <v>185</v>
      </c>
      <c r="Z39" s="227">
        <v>3097.3999999999996</v>
      </c>
      <c r="AA39" s="225">
        <v>282</v>
      </c>
      <c r="AB39" s="227">
        <v>4775.6100000000006</v>
      </c>
      <c r="AC39" s="225">
        <v>350</v>
      </c>
      <c r="AD39" s="227">
        <v>6017.5699999999997</v>
      </c>
      <c r="AE39" s="232">
        <v>1910</v>
      </c>
      <c r="AF39" s="233">
        <v>0.040725815049361395</v>
      </c>
      <c r="AG39" s="234">
        <v>31395.379999999997</v>
      </c>
      <c r="AH39" s="233">
        <v>0.058829384557457537</v>
      </c>
    </row>
    <row r="40" spans="1:34" ht="14.5">
      <c r="A40" t="s">
        <v>11</v>
      </c>
      <c r="B40" t="s">
        <v>359</v>
      </c>
      <c r="D40" s="68">
        <f>D39+1</f>
        <v>8</v>
      </c>
      <c r="E40" t="s">
        <v>434</v>
      </c>
      <c r="F40" s="222" t="s">
        <v>435</v>
      </c>
      <c r="G40" s="225">
        <v>269</v>
      </c>
      <c r="H40" s="227">
        <v>4328.29</v>
      </c>
      <c r="I40" s="225">
        <v>262</v>
      </c>
      <c r="J40" s="227">
        <v>4185.9199999999992</v>
      </c>
      <c r="K40" s="225">
        <v>234</v>
      </c>
      <c r="L40" s="227">
        <v>3742.6399999999999</v>
      </c>
      <c r="M40" s="225">
        <v>170</v>
      </c>
      <c r="N40" s="227">
        <v>2692.7599999999998</v>
      </c>
      <c r="O40" s="225">
        <v>143</v>
      </c>
      <c r="P40" s="227">
        <v>2331.1500000000001</v>
      </c>
      <c r="Q40" s="225">
        <v>122</v>
      </c>
      <c r="R40" s="227">
        <v>2212.23</v>
      </c>
      <c r="S40" s="225">
        <v>47</v>
      </c>
      <c r="T40" s="227">
        <v>855.49000000000001</v>
      </c>
      <c r="U40" s="225">
        <v>32</v>
      </c>
      <c r="V40" s="227">
        <v>567.32000000000005</v>
      </c>
      <c r="W40" s="225">
        <v>26</v>
      </c>
      <c r="X40" s="227">
        <v>445.94</v>
      </c>
      <c r="Y40" s="225">
        <v>106</v>
      </c>
      <c r="Z40" s="227">
        <v>1795.9300000000001</v>
      </c>
      <c r="AA40" s="225">
        <v>109</v>
      </c>
      <c r="AB40" s="227">
        <v>1856.6399999999999</v>
      </c>
      <c r="AC40" s="225">
        <v>308</v>
      </c>
      <c r="AD40" s="227">
        <v>5228.9099999999999</v>
      </c>
      <c r="AE40" s="232">
        <v>1828</v>
      </c>
      <c r="AF40" s="233">
        <v>0.038977376916352162</v>
      </c>
      <c r="AG40" s="234">
        <v>30243.219999999998</v>
      </c>
      <c r="AH40" s="233">
        <v>0.056670440671072971</v>
      </c>
    </row>
    <row r="41" spans="1:34" ht="14.5">
      <c r="A41" t="s">
        <v>11</v>
      </c>
      <c r="B41" t="s">
        <v>360</v>
      </c>
      <c r="D41" s="68">
        <f>D40+1</f>
        <v>9</v>
      </c>
      <c r="E41" t="s">
        <v>436</v>
      </c>
      <c r="F41" s="222" t="s">
        <v>437</v>
      </c>
      <c r="G41" s="225">
        <v>357</v>
      </c>
      <c r="H41" s="227">
        <v>1803.6200000000001</v>
      </c>
      <c r="I41" s="225">
        <v>322</v>
      </c>
      <c r="J41" s="227">
        <v>1630.4200000000001</v>
      </c>
      <c r="K41" s="225">
        <v>360</v>
      </c>
      <c r="L41" s="227">
        <v>1815.46</v>
      </c>
      <c r="M41" s="225">
        <v>314</v>
      </c>
      <c r="N41" s="227">
        <v>1582.5900000000001</v>
      </c>
      <c r="O41" s="225">
        <v>191</v>
      </c>
      <c r="P41" s="227">
        <v>983.05999999999995</v>
      </c>
      <c r="Q41" s="225">
        <v>102</v>
      </c>
      <c r="R41" s="227">
        <v>614.82000000000005</v>
      </c>
      <c r="S41" s="225">
        <v>57</v>
      </c>
      <c r="T41" s="227">
        <v>345.93000000000001</v>
      </c>
      <c r="U41" s="225">
        <v>26</v>
      </c>
      <c r="V41" s="227">
        <v>153.60000000000002</v>
      </c>
      <c r="W41" s="225">
        <v>41</v>
      </c>
      <c r="X41" s="227">
        <v>248.15000000000001</v>
      </c>
      <c r="Y41" s="225">
        <v>10</v>
      </c>
      <c r="Z41" s="227">
        <v>61.439999999999998</v>
      </c>
      <c r="AA41" s="225">
        <v>3</v>
      </c>
      <c r="AB41" s="227">
        <v>18</v>
      </c>
      <c r="AC41" s="225">
        <v>11</v>
      </c>
      <c r="AD41" s="227">
        <v>66</v>
      </c>
      <c r="AE41" s="232">
        <v>1794</v>
      </c>
      <c r="AF41" s="233">
        <v>0.038252414763641017</v>
      </c>
      <c r="AG41" s="234">
        <v>9323.0900000000001</v>
      </c>
      <c r="AH41" s="233">
        <v>0.017469820300750838</v>
      </c>
    </row>
    <row r="42" spans="1:34" ht="14.5">
      <c r="A42" t="s">
        <v>11</v>
      </c>
      <c r="B42" t="s">
        <v>361</v>
      </c>
      <c r="D42" s="68">
        <f>D41+1</f>
        <v>10</v>
      </c>
      <c r="E42" t="s">
        <v>438</v>
      </c>
      <c r="F42" s="222" t="s">
        <v>439</v>
      </c>
      <c r="G42" s="225">
        <v>128</v>
      </c>
      <c r="H42" s="227">
        <v>2073.8000000000002</v>
      </c>
      <c r="I42" s="225">
        <v>130</v>
      </c>
      <c r="J42" s="227">
        <v>2104.71</v>
      </c>
      <c r="K42" s="225">
        <v>122</v>
      </c>
      <c r="L42" s="227">
        <v>1952.4000000000001</v>
      </c>
      <c r="M42" s="225">
        <v>98</v>
      </c>
      <c r="N42" s="227">
        <v>1537.0400000000002</v>
      </c>
      <c r="O42" s="225">
        <v>70</v>
      </c>
      <c r="P42" s="227">
        <v>1137.3699999999999</v>
      </c>
      <c r="Q42" s="225">
        <v>101</v>
      </c>
      <c r="R42" s="227">
        <v>1821.25</v>
      </c>
      <c r="S42" s="225">
        <v>76</v>
      </c>
      <c r="T42" s="227">
        <v>1357.97</v>
      </c>
      <c r="U42" s="225">
        <v>97</v>
      </c>
      <c r="V42" s="227">
        <v>1765.3900000000001</v>
      </c>
      <c r="W42" s="225">
        <v>96</v>
      </c>
      <c r="X42" s="227">
        <v>1678.7800000000002</v>
      </c>
      <c r="Y42" s="225">
        <v>54</v>
      </c>
      <c r="Z42" s="227">
        <v>923.22000000000003</v>
      </c>
      <c r="AA42" s="225">
        <v>41</v>
      </c>
      <c r="AB42" s="227">
        <v>678.91999999999985</v>
      </c>
      <c r="AC42" s="225">
        <v>142</v>
      </c>
      <c r="AD42" s="227">
        <v>2414.9000000000001</v>
      </c>
      <c r="AE42" s="232">
        <v>1155</v>
      </c>
      <c r="AF42" s="233">
        <v>0.024627390775922728</v>
      </c>
      <c r="AG42" s="234">
        <v>19445.75</v>
      </c>
      <c r="AH42" s="233">
        <v>0.036437893242833183</v>
      </c>
    </row>
    <row r="43" spans="1:34" ht="14.5">
      <c r="A43" t="s">
        <v>11</v>
      </c>
      <c r="B43" t="s">
        <v>362</v>
      </c>
      <c r="D43" s="68">
        <f>D42+1</f>
        <v>11</v>
      </c>
      <c r="E43" t="s">
        <v>440</v>
      </c>
      <c r="F43" s="222" t="s">
        <v>441</v>
      </c>
      <c r="G43" s="225">
        <v>115</v>
      </c>
      <c r="H43" s="227">
        <v>1850.23</v>
      </c>
      <c r="I43" s="225">
        <v>116</v>
      </c>
      <c r="J43" s="227">
        <v>1882.6199999999999</v>
      </c>
      <c r="K43" s="225">
        <v>109</v>
      </c>
      <c r="L43" s="227">
        <v>1718.8700000000001</v>
      </c>
      <c r="M43" s="225">
        <v>97</v>
      </c>
      <c r="N43" s="227">
        <v>1551.05</v>
      </c>
      <c r="O43" s="225">
        <v>72</v>
      </c>
      <c r="P43" s="227">
        <v>1170.0799999999999</v>
      </c>
      <c r="Q43" s="225">
        <v>105</v>
      </c>
      <c r="R43" s="227">
        <v>1905.55</v>
      </c>
      <c r="S43" s="225">
        <v>90</v>
      </c>
      <c r="T43" s="227">
        <v>1593.6700000000001</v>
      </c>
      <c r="U43" s="225">
        <v>81</v>
      </c>
      <c r="V43" s="227">
        <v>1473.6800000000001</v>
      </c>
      <c r="W43" s="225">
        <v>48</v>
      </c>
      <c r="X43" s="227">
        <v>847.51999999999998</v>
      </c>
      <c r="Y43" s="225">
        <v>24</v>
      </c>
      <c r="Z43" s="227">
        <v>409.15999999999997</v>
      </c>
      <c r="AA43" s="225">
        <v>54</v>
      </c>
      <c r="AB43" s="227">
        <v>923.22000000000003</v>
      </c>
      <c r="AC43" s="225">
        <v>162</v>
      </c>
      <c r="AD43" s="227">
        <v>2748.9099999999999</v>
      </c>
      <c r="AE43" s="232">
        <v>1073</v>
      </c>
      <c r="AF43" s="233">
        <v>0.022878952642913494</v>
      </c>
      <c r="AG43" s="234">
        <v>18074.559999999998</v>
      </c>
      <c r="AH43" s="233">
        <v>0.033868525908806957</v>
      </c>
    </row>
    <row r="44" spans="1:34" ht="14.5">
      <c r="A44" t="s">
        <v>11</v>
      </c>
      <c r="B44" t="s">
        <v>363</v>
      </c>
      <c r="D44" s="68">
        <f>D43+1</f>
        <v>12</v>
      </c>
      <c r="E44" t="s">
        <v>442</v>
      </c>
      <c r="F44" s="222" t="s">
        <v>443</v>
      </c>
      <c r="G44" s="225">
        <v>42</v>
      </c>
      <c r="H44" s="227">
        <v>742.91999999999996</v>
      </c>
      <c r="I44" s="225">
        <v>47</v>
      </c>
      <c r="J44" s="227">
        <v>818.58000000000004</v>
      </c>
      <c r="K44" s="225">
        <v>54</v>
      </c>
      <c r="L44" s="227">
        <v>972.25</v>
      </c>
      <c r="M44" s="225">
        <v>39</v>
      </c>
      <c r="N44" s="227">
        <v>687.34999999999991</v>
      </c>
      <c r="O44" s="225">
        <v>18</v>
      </c>
      <c r="P44" s="227">
        <v>320.92000000000002</v>
      </c>
      <c r="Q44" s="225">
        <v>16</v>
      </c>
      <c r="R44" s="227">
        <v>293.18000000000001</v>
      </c>
      <c r="S44" s="225">
        <v>58</v>
      </c>
      <c r="T44" s="227">
        <v>1012.24</v>
      </c>
      <c r="U44" s="225">
        <v>58</v>
      </c>
      <c r="V44" s="227">
        <v>1006.47</v>
      </c>
      <c r="W44" s="225">
        <v>69</v>
      </c>
      <c r="X44" s="227">
        <v>1256.04</v>
      </c>
      <c r="Y44" s="225">
        <v>48</v>
      </c>
      <c r="Z44" s="227">
        <v>902.11999999999989</v>
      </c>
      <c r="AA44" s="225">
        <v>29</v>
      </c>
      <c r="AB44" s="227">
        <v>484.45000000000005</v>
      </c>
      <c r="AC44" s="225">
        <v>79</v>
      </c>
      <c r="AD44" s="227">
        <v>1450.6599999999999</v>
      </c>
      <c r="AE44" s="232">
        <v>557</v>
      </c>
      <c r="AF44" s="233">
        <v>0.011876585854709056</v>
      </c>
      <c r="AG44" s="234">
        <v>9947.1800000000003</v>
      </c>
      <c r="AH44" s="233">
        <v>0.01863925448528575</v>
      </c>
    </row>
    <row r="45" spans="1:34" ht="14.5">
      <c r="A45" t="s">
        <v>11</v>
      </c>
      <c r="B45" t="s">
        <v>364</v>
      </c>
      <c r="D45" s="68">
        <f>D44+1</f>
        <v>13</v>
      </c>
      <c r="E45" t="s">
        <v>444</v>
      </c>
      <c r="F45" s="222" t="s">
        <v>445</v>
      </c>
      <c r="G45" s="225">
        <v>0</v>
      </c>
      <c r="H45" s="227">
        <v>0</v>
      </c>
      <c r="I45" s="225">
        <v>0</v>
      </c>
      <c r="J45" s="227">
        <v>0</v>
      </c>
      <c r="K45" s="225">
        <v>0</v>
      </c>
      <c r="L45" s="227">
        <v>0</v>
      </c>
      <c r="M45" s="225">
        <v>0</v>
      </c>
      <c r="N45" s="227">
        <v>0</v>
      </c>
      <c r="O45" s="225">
        <v>0</v>
      </c>
      <c r="P45" s="227">
        <v>0</v>
      </c>
      <c r="Q45" s="225">
        <v>0</v>
      </c>
      <c r="R45" s="227">
        <v>0</v>
      </c>
      <c r="S45" s="225">
        <v>173</v>
      </c>
      <c r="T45" s="227">
        <v>4629.0399999999991</v>
      </c>
      <c r="U45" s="225">
        <v>45</v>
      </c>
      <c r="V45" s="227">
        <v>1238</v>
      </c>
      <c r="W45" s="225">
        <v>74</v>
      </c>
      <c r="X45" s="227">
        <v>2049.54</v>
      </c>
      <c r="Y45" s="225">
        <v>62</v>
      </c>
      <c r="Z45" s="227">
        <v>1773.9100000000001</v>
      </c>
      <c r="AA45" s="225">
        <v>42</v>
      </c>
      <c r="AB45" s="227">
        <v>1190.6299999999999</v>
      </c>
      <c r="AC45" s="225">
        <v>85</v>
      </c>
      <c r="AD45" s="227">
        <v>2460.8000000000002</v>
      </c>
      <c r="AE45" s="232">
        <v>481</v>
      </c>
      <c r="AF45" s="233">
        <v>0.010256082219237085</v>
      </c>
      <c r="AG45" s="234">
        <v>13341.919999999998</v>
      </c>
      <c r="AH45" s="233">
        <v>0.025000396313560588</v>
      </c>
    </row>
    <row r="46" spans="1:34" ht="14.5">
      <c r="A46" t="s">
        <v>11</v>
      </c>
      <c r="B46" t="s">
        <v>365</v>
      </c>
      <c r="D46" s="68">
        <f>D45+1</f>
        <v>14</v>
      </c>
      <c r="E46" t="s">
        <v>446</v>
      </c>
      <c r="F46" s="222" t="s">
        <v>447</v>
      </c>
      <c r="G46" s="225">
        <v>0</v>
      </c>
      <c r="H46" s="227">
        <v>0</v>
      </c>
      <c r="I46" s="225">
        <v>0</v>
      </c>
      <c r="J46" s="227">
        <v>0</v>
      </c>
      <c r="K46" s="225">
        <v>0</v>
      </c>
      <c r="L46" s="227">
        <v>0</v>
      </c>
      <c r="M46" s="225">
        <v>0</v>
      </c>
      <c r="N46" s="227">
        <v>0</v>
      </c>
      <c r="O46" s="225">
        <v>0</v>
      </c>
      <c r="P46" s="227">
        <v>0</v>
      </c>
      <c r="Q46" s="225">
        <v>0</v>
      </c>
      <c r="R46" s="227">
        <v>0</v>
      </c>
      <c r="S46" s="225">
        <v>114</v>
      </c>
      <c r="T46" s="227">
        <v>3089.8499999999999</v>
      </c>
      <c r="U46" s="225">
        <v>83</v>
      </c>
      <c r="V46" s="227">
        <v>2229</v>
      </c>
      <c r="W46" s="225">
        <v>88</v>
      </c>
      <c r="X46" s="227">
        <v>2430.6399999999999</v>
      </c>
      <c r="Y46" s="225">
        <v>44</v>
      </c>
      <c r="Z46" s="227">
        <v>1254.3299999999999</v>
      </c>
      <c r="AA46" s="225">
        <v>37</v>
      </c>
      <c r="AB46" s="227">
        <v>1080.6500000000001</v>
      </c>
      <c r="AC46" s="225">
        <v>113</v>
      </c>
      <c r="AD46" s="227">
        <v>3282.23</v>
      </c>
      <c r="AE46" s="232">
        <v>479</v>
      </c>
      <c r="AF46" s="233">
        <v>0.010213437386724663</v>
      </c>
      <c r="AG46" s="234">
        <v>13366.699999999999</v>
      </c>
      <c r="AH46" s="233">
        <v>0.025046829647042579</v>
      </c>
    </row>
    <row r="47" spans="1:34" ht="14.5">
      <c r="A47" t="s">
        <v>11</v>
      </c>
      <c r="B47" t="s">
        <v>366</v>
      </c>
      <c r="D47" s="68">
        <f>D46+1</f>
        <v>15</v>
      </c>
      <c r="E47" t="s">
        <v>448</v>
      </c>
      <c r="F47" s="222" t="s">
        <v>449</v>
      </c>
      <c r="G47" s="225">
        <v>0</v>
      </c>
      <c r="H47" s="227">
        <v>0</v>
      </c>
      <c r="I47" s="225">
        <v>0</v>
      </c>
      <c r="J47" s="227">
        <v>0</v>
      </c>
      <c r="K47" s="225">
        <v>0</v>
      </c>
      <c r="L47" s="227">
        <v>0</v>
      </c>
      <c r="M47" s="225">
        <v>0</v>
      </c>
      <c r="N47" s="227">
        <v>0</v>
      </c>
      <c r="O47" s="225">
        <v>0</v>
      </c>
      <c r="P47" s="227">
        <v>0</v>
      </c>
      <c r="Q47" s="225">
        <v>0</v>
      </c>
      <c r="R47" s="227">
        <v>0</v>
      </c>
      <c r="S47" s="225">
        <v>0</v>
      </c>
      <c r="T47" s="227">
        <v>0</v>
      </c>
      <c r="U47" s="225">
        <v>0</v>
      </c>
      <c r="V47" s="227">
        <v>0</v>
      </c>
      <c r="W47" s="225">
        <v>6</v>
      </c>
      <c r="X47" s="227">
        <v>36</v>
      </c>
      <c r="Y47" s="225">
        <v>122</v>
      </c>
      <c r="Z47" s="227">
        <v>724.79999999999995</v>
      </c>
      <c r="AA47" s="225">
        <v>90</v>
      </c>
      <c r="AB47" s="227">
        <v>537.60000000000002</v>
      </c>
      <c r="AC47" s="225">
        <v>185</v>
      </c>
      <c r="AD47" s="227">
        <v>1107.5999999999999</v>
      </c>
      <c r="AE47" s="232">
        <v>403</v>
      </c>
      <c r="AF47" s="233">
        <v>0.0085929337512526925</v>
      </c>
      <c r="AG47" s="234">
        <v>2406</v>
      </c>
      <c r="AH47" s="233">
        <v>0.0045084180935297761</v>
      </c>
    </row>
    <row r="48" spans="1:34" ht="14.5">
      <c r="A48" t="s">
        <v>11</v>
      </c>
      <c r="B48" t="s">
        <v>367</v>
      </c>
      <c r="D48" s="68">
        <f>D47+1</f>
        <v>16</v>
      </c>
      <c r="E48" t="s">
        <v>450</v>
      </c>
      <c r="F48" s="222" t="s">
        <v>451</v>
      </c>
      <c r="G48" s="225">
        <v>0</v>
      </c>
      <c r="H48" s="227">
        <v>0</v>
      </c>
      <c r="I48" s="225">
        <v>0</v>
      </c>
      <c r="J48" s="227">
        <v>0</v>
      </c>
      <c r="K48" s="225">
        <v>0</v>
      </c>
      <c r="L48" s="227">
        <v>0</v>
      </c>
      <c r="M48" s="225">
        <v>0</v>
      </c>
      <c r="N48" s="227">
        <v>0</v>
      </c>
      <c r="O48" s="225">
        <v>0</v>
      </c>
      <c r="P48" s="227">
        <v>0</v>
      </c>
      <c r="Q48" s="225">
        <v>0</v>
      </c>
      <c r="R48" s="227">
        <v>0</v>
      </c>
      <c r="S48" s="225">
        <v>0</v>
      </c>
      <c r="T48" s="227">
        <v>0</v>
      </c>
      <c r="U48" s="225">
        <v>0</v>
      </c>
      <c r="V48" s="227">
        <v>0</v>
      </c>
      <c r="W48" s="225">
        <v>0</v>
      </c>
      <c r="X48" s="227">
        <v>0</v>
      </c>
      <c r="Y48" s="225">
        <v>79</v>
      </c>
      <c r="Z48" s="227">
        <v>469.19999999999999</v>
      </c>
      <c r="AA48" s="225">
        <v>57</v>
      </c>
      <c r="AB48" s="227">
        <v>342</v>
      </c>
      <c r="AC48" s="225">
        <v>157</v>
      </c>
      <c r="AD48" s="227">
        <v>942</v>
      </c>
      <c r="AE48" s="232">
        <v>293</v>
      </c>
      <c r="AF48" s="233">
        <v>0.0062474679630695751</v>
      </c>
      <c r="AG48" s="234">
        <v>1753.2</v>
      </c>
      <c r="AH48" s="233">
        <v>0.0032851864511955126</v>
      </c>
    </row>
    <row r="49" spans="1:34" ht="14.5">
      <c r="A49" t="s">
        <v>11</v>
      </c>
      <c r="B49" t="s">
        <v>368</v>
      </c>
      <c r="D49" s="68">
        <f>D48+1</f>
        <v>17</v>
      </c>
      <c r="E49" t="s">
        <v>452</v>
      </c>
      <c r="F49" s="222" t="s">
        <v>453</v>
      </c>
      <c r="G49" s="225">
        <v>0</v>
      </c>
      <c r="H49" s="227">
        <v>0</v>
      </c>
      <c r="I49" s="225">
        <v>0</v>
      </c>
      <c r="J49" s="227">
        <v>0</v>
      </c>
      <c r="K49" s="225">
        <v>0</v>
      </c>
      <c r="L49" s="227">
        <v>0</v>
      </c>
      <c r="M49" s="225">
        <v>0</v>
      </c>
      <c r="N49" s="227">
        <v>0</v>
      </c>
      <c r="O49" s="225">
        <v>0</v>
      </c>
      <c r="P49" s="227">
        <v>0</v>
      </c>
      <c r="Q49" s="225">
        <v>0</v>
      </c>
      <c r="R49" s="227">
        <v>0</v>
      </c>
      <c r="S49" s="225">
        <v>53</v>
      </c>
      <c r="T49" s="227">
        <v>1412.6200000000001</v>
      </c>
      <c r="U49" s="225">
        <v>44</v>
      </c>
      <c r="V49" s="227">
        <v>1211.4000000000001</v>
      </c>
      <c r="W49" s="225">
        <v>45</v>
      </c>
      <c r="X49" s="227">
        <v>1254.9200000000001</v>
      </c>
      <c r="Y49" s="225">
        <v>25</v>
      </c>
      <c r="Z49" s="227">
        <v>734.18000000000006</v>
      </c>
      <c r="AA49" s="225">
        <v>13</v>
      </c>
      <c r="AB49" s="227">
        <v>381.59000000000003</v>
      </c>
      <c r="AC49" s="225">
        <v>63</v>
      </c>
      <c r="AD49" s="227">
        <v>1836.1800000000001</v>
      </c>
      <c r="AE49" s="232">
        <v>243</v>
      </c>
      <c r="AF49" s="233">
        <v>0.0051813471502590676</v>
      </c>
      <c r="AG49" s="234">
        <v>6830.8900000000012</v>
      </c>
      <c r="AH49" s="233">
        <v>0.012799878666214303</v>
      </c>
    </row>
    <row r="50" spans="1:34" ht="14.5">
      <c r="A50" t="s">
        <v>11</v>
      </c>
      <c r="B50" t="s">
        <v>369</v>
      </c>
      <c r="D50" s="68">
        <f>D49+1</f>
        <v>18</v>
      </c>
      <c r="E50" t="s">
        <v>454</v>
      </c>
      <c r="F50" s="222" t="s">
        <v>455</v>
      </c>
      <c r="G50" s="225">
        <v>0</v>
      </c>
      <c r="H50" s="227">
        <v>0</v>
      </c>
      <c r="I50" s="225">
        <v>0</v>
      </c>
      <c r="J50" s="227">
        <v>0</v>
      </c>
      <c r="K50" s="225">
        <v>0</v>
      </c>
      <c r="L50" s="227">
        <v>0</v>
      </c>
      <c r="M50" s="225">
        <v>0</v>
      </c>
      <c r="N50" s="227">
        <v>0</v>
      </c>
      <c r="O50" s="225">
        <v>0</v>
      </c>
      <c r="P50" s="227">
        <v>0</v>
      </c>
      <c r="Q50" s="225">
        <v>0</v>
      </c>
      <c r="R50" s="227">
        <v>0</v>
      </c>
      <c r="S50" s="225">
        <v>0</v>
      </c>
      <c r="T50" s="227">
        <v>0</v>
      </c>
      <c r="U50" s="225">
        <v>0</v>
      </c>
      <c r="V50" s="227">
        <v>0</v>
      </c>
      <c r="W50" s="225">
        <v>0</v>
      </c>
      <c r="X50" s="227">
        <v>0</v>
      </c>
      <c r="Y50" s="225">
        <v>68</v>
      </c>
      <c r="Z50" s="227">
        <v>405.60000000000002</v>
      </c>
      <c r="AA50" s="225">
        <v>64</v>
      </c>
      <c r="AB50" s="227">
        <v>384</v>
      </c>
      <c r="AC50" s="225">
        <v>109</v>
      </c>
      <c r="AD50" s="227">
        <v>651.60000000000002</v>
      </c>
      <c r="AE50" s="232">
        <v>241</v>
      </c>
      <c r="AF50" s="233">
        <v>0.0051387023177466469</v>
      </c>
      <c r="AG50" s="234">
        <v>1441.2</v>
      </c>
      <c r="AH50" s="233">
        <v>0.002700553680962225</v>
      </c>
    </row>
    <row r="51" spans="1:34" ht="14.5">
      <c r="A51" t="s">
        <v>11</v>
      </c>
      <c r="B51" t="s">
        <v>370</v>
      </c>
      <c r="D51" s="68">
        <f>D50+1</f>
        <v>19</v>
      </c>
      <c r="E51" t="s">
        <v>456</v>
      </c>
      <c r="F51" s="222" t="s">
        <v>457</v>
      </c>
      <c r="G51" s="225">
        <v>37</v>
      </c>
      <c r="H51" s="227">
        <v>667.44000000000005</v>
      </c>
      <c r="I51" s="225">
        <v>45</v>
      </c>
      <c r="J51" s="227">
        <v>803.83000000000004</v>
      </c>
      <c r="K51" s="225">
        <v>31</v>
      </c>
      <c r="L51" s="227">
        <v>555.95000000000005</v>
      </c>
      <c r="M51" s="225">
        <v>24</v>
      </c>
      <c r="N51" s="227">
        <v>428.65999999999997</v>
      </c>
      <c r="O51" s="225">
        <v>15</v>
      </c>
      <c r="P51" s="227">
        <v>265.88999999999999</v>
      </c>
      <c r="Q51" s="225">
        <v>15</v>
      </c>
      <c r="R51" s="227">
        <v>264.88</v>
      </c>
      <c r="S51" s="225">
        <v>11</v>
      </c>
      <c r="T51" s="227">
        <v>168.96000000000001</v>
      </c>
      <c r="U51" s="225">
        <v>8</v>
      </c>
      <c r="V51" s="227">
        <v>146.86000000000001</v>
      </c>
      <c r="W51" s="225">
        <v>9</v>
      </c>
      <c r="X51" s="227">
        <v>168.21000000000001</v>
      </c>
      <c r="Y51" s="225">
        <v>3</v>
      </c>
      <c r="Z51" s="227">
        <v>58.350000000000001</v>
      </c>
      <c r="AA51" s="225">
        <v>3</v>
      </c>
      <c r="AB51" s="227">
        <v>57</v>
      </c>
      <c r="AC51" s="225">
        <v>6</v>
      </c>
      <c r="AD51" s="227">
        <v>114</v>
      </c>
      <c r="AE51" s="232">
        <v>207</v>
      </c>
      <c r="AF51" s="233">
        <v>0.004413740165035502</v>
      </c>
      <c r="AG51" s="234">
        <v>3700.0300000000002</v>
      </c>
      <c r="AH51" s="233">
        <v>0.0069332012463021514</v>
      </c>
    </row>
    <row r="52" spans="1:34" ht="14.5">
      <c r="A52" t="s">
        <v>11</v>
      </c>
      <c r="B52" t="s">
        <v>371</v>
      </c>
      <c r="D52" s="68">
        <f>D51+1</f>
        <v>20</v>
      </c>
      <c r="E52" t="s">
        <v>458</v>
      </c>
      <c r="F52" s="222" t="s">
        <v>459</v>
      </c>
      <c r="G52" s="225">
        <v>0</v>
      </c>
      <c r="H52" s="227">
        <v>0</v>
      </c>
      <c r="I52" s="225">
        <v>0</v>
      </c>
      <c r="J52" s="227">
        <v>0</v>
      </c>
      <c r="K52" s="225">
        <v>0</v>
      </c>
      <c r="L52" s="227">
        <v>0</v>
      </c>
      <c r="M52" s="225">
        <v>0</v>
      </c>
      <c r="N52" s="227">
        <v>0</v>
      </c>
      <c r="O52" s="225">
        <v>0</v>
      </c>
      <c r="P52" s="227">
        <v>0</v>
      </c>
      <c r="Q52" s="225">
        <v>0</v>
      </c>
      <c r="R52" s="227">
        <v>0</v>
      </c>
      <c r="S52" s="225">
        <v>57</v>
      </c>
      <c r="T52" s="227">
        <v>1560.6300000000001</v>
      </c>
      <c r="U52" s="225">
        <v>51</v>
      </c>
      <c r="V52" s="227">
        <v>1400.4000000000001</v>
      </c>
      <c r="W52" s="225">
        <v>31</v>
      </c>
      <c r="X52" s="227">
        <v>873.25999999999999</v>
      </c>
      <c r="Y52" s="225">
        <v>18</v>
      </c>
      <c r="Z52" s="227">
        <v>528.12</v>
      </c>
      <c r="AA52" s="225">
        <v>14</v>
      </c>
      <c r="AB52" s="227">
        <v>409.06</v>
      </c>
      <c r="AC52" s="225">
        <v>36</v>
      </c>
      <c r="AD52" s="227">
        <v>1056.24</v>
      </c>
      <c r="AE52" s="232">
        <v>207</v>
      </c>
      <c r="AF52" s="233">
        <v>0.004413740165035502</v>
      </c>
      <c r="AG52" s="234">
        <v>5827.71</v>
      </c>
      <c r="AH52" s="233">
        <v>0.01092009692761613</v>
      </c>
    </row>
    <row r="53" spans="1:34" ht="14.5">
      <c r="A53" t="s">
        <v>11</v>
      </c>
      <c r="B53" t="s">
        <v>372</v>
      </c>
      <c r="D53" s="68">
        <f>D52+1</f>
        <v>21</v>
      </c>
      <c r="E53" t="s">
        <v>471</v>
      </c>
      <c r="F53" s="222" t="s">
        <v>470</v>
      </c>
      <c r="G53" s="225">
        <v>0</v>
      </c>
      <c r="H53" s="227">
        <v>0</v>
      </c>
      <c r="I53" s="225">
        <v>0</v>
      </c>
      <c r="J53" s="227">
        <v>0</v>
      </c>
      <c r="K53" s="225">
        <v>0</v>
      </c>
      <c r="L53" s="227">
        <v>0</v>
      </c>
      <c r="M53" s="225">
        <v>0</v>
      </c>
      <c r="N53" s="227">
        <v>0</v>
      </c>
      <c r="O53" s="225">
        <v>0</v>
      </c>
      <c r="P53" s="227">
        <v>0</v>
      </c>
      <c r="Q53" s="225">
        <v>0</v>
      </c>
      <c r="R53" s="227">
        <v>0</v>
      </c>
      <c r="S53" s="225">
        <v>37</v>
      </c>
      <c r="T53" s="227">
        <v>1005.25</v>
      </c>
      <c r="U53" s="225">
        <v>37</v>
      </c>
      <c r="V53" s="227">
        <v>987.39999999999986</v>
      </c>
      <c r="W53" s="225">
        <v>29</v>
      </c>
      <c r="X53" s="227">
        <v>811.31999999999994</v>
      </c>
      <c r="Y53" s="225">
        <v>28</v>
      </c>
      <c r="Z53" s="227">
        <v>819.64999999999998</v>
      </c>
      <c r="AA53" s="225">
        <v>12</v>
      </c>
      <c r="AB53" s="227">
        <v>337.92999999999995</v>
      </c>
      <c r="AC53" s="225">
        <v>31</v>
      </c>
      <c r="AD53" s="227">
        <v>914.29999999999995</v>
      </c>
      <c r="AE53" s="232">
        <v>174</v>
      </c>
      <c r="AF53" s="233">
        <v>0.0037101004285805669</v>
      </c>
      <c r="AG53" s="234">
        <v>4875.8499999999995</v>
      </c>
      <c r="AH53" s="233">
        <v>0.0091364797844294098</v>
      </c>
    </row>
    <row r="54" spans="1:34" ht="14.5">
      <c r="A54" t="s">
        <v>11</v>
      </c>
      <c r="B54" t="s">
        <v>373</v>
      </c>
      <c r="D54" s="68">
        <f>D53+1</f>
        <v>22</v>
      </c>
      <c r="E54" t="s">
        <v>485</v>
      </c>
      <c r="F54" s="222" t="s">
        <v>486</v>
      </c>
      <c r="G54" s="225">
        <v>68</v>
      </c>
      <c r="H54" s="227">
        <v>1201.3199999999999</v>
      </c>
      <c r="I54" s="225">
        <v>26</v>
      </c>
      <c r="J54" s="227">
        <v>460.08000000000004</v>
      </c>
      <c r="K54" s="225">
        <v>22</v>
      </c>
      <c r="L54" s="227">
        <v>392.00999999999999</v>
      </c>
      <c r="M54" s="225">
        <v>11</v>
      </c>
      <c r="N54" s="227">
        <v>196.98000000000002</v>
      </c>
      <c r="O54" s="225">
        <v>10</v>
      </c>
      <c r="P54" s="227">
        <v>174.86000000000001</v>
      </c>
      <c r="Q54" s="225">
        <v>7</v>
      </c>
      <c r="R54" s="227">
        <v>126</v>
      </c>
      <c r="S54" s="225">
        <v>5</v>
      </c>
      <c r="T54" s="227">
        <v>90</v>
      </c>
      <c r="U54" s="225">
        <v>1</v>
      </c>
      <c r="V54" s="227">
        <v>10.800000000000001</v>
      </c>
      <c r="W54" s="225">
        <v>0</v>
      </c>
      <c r="X54" s="227">
        <v>0</v>
      </c>
      <c r="Y54" s="225">
        <v>0</v>
      </c>
      <c r="Z54" s="227">
        <v>0</v>
      </c>
      <c r="AA54" s="225">
        <v>0</v>
      </c>
      <c r="AB54" s="227">
        <v>0</v>
      </c>
      <c r="AC54" s="225">
        <v>0</v>
      </c>
      <c r="AD54" s="227">
        <v>0</v>
      </c>
      <c r="AE54" s="232">
        <v>150</v>
      </c>
      <c r="AF54" s="233">
        <v>0.003198362438431523</v>
      </c>
      <c r="AG54" s="234">
        <v>2652.0500000000002</v>
      </c>
      <c r="AH54" s="233">
        <v>0.004969472238132021</v>
      </c>
    </row>
    <row r="55" spans="1:34" ht="14.5">
      <c r="A55" t="s">
        <v>11</v>
      </c>
      <c r="B55" t="s">
        <v>374</v>
      </c>
      <c r="D55" s="68">
        <f>D54+1</f>
        <v>23</v>
      </c>
      <c r="E55" t="s">
        <v>473</v>
      </c>
      <c r="F55" s="222" t="s">
        <v>472</v>
      </c>
      <c r="G55" s="225">
        <v>0</v>
      </c>
      <c r="H55" s="227">
        <v>0</v>
      </c>
      <c r="I55" s="225">
        <v>0</v>
      </c>
      <c r="J55" s="227">
        <v>0</v>
      </c>
      <c r="K55" s="225">
        <v>0</v>
      </c>
      <c r="L55" s="227">
        <v>0</v>
      </c>
      <c r="M55" s="225">
        <v>0</v>
      </c>
      <c r="N55" s="227">
        <v>0</v>
      </c>
      <c r="O55" s="225">
        <v>0</v>
      </c>
      <c r="P55" s="227">
        <v>0</v>
      </c>
      <c r="Q55" s="225">
        <v>0</v>
      </c>
      <c r="R55" s="227">
        <v>0</v>
      </c>
      <c r="S55" s="225">
        <v>32</v>
      </c>
      <c r="T55" s="227">
        <v>874.39999999999998</v>
      </c>
      <c r="U55" s="225">
        <v>20</v>
      </c>
      <c r="V55" s="227">
        <v>555.60000000000002</v>
      </c>
      <c r="W55" s="225">
        <v>20</v>
      </c>
      <c r="X55" s="227">
        <v>548.39999999999998</v>
      </c>
      <c r="Y55" s="225">
        <v>14</v>
      </c>
      <c r="Z55" s="227">
        <v>409.06</v>
      </c>
      <c r="AA55" s="225">
        <v>6</v>
      </c>
      <c r="AB55" s="227">
        <v>169.81</v>
      </c>
      <c r="AC55" s="225">
        <v>23</v>
      </c>
      <c r="AD55" s="227">
        <v>666.11000000000001</v>
      </c>
      <c r="AE55" s="232">
        <v>115</v>
      </c>
      <c r="AF55" s="233">
        <v>0.0024520778694641678</v>
      </c>
      <c r="AG55" s="234">
        <v>3223.3800000000001</v>
      </c>
      <c r="AH55" s="233">
        <v>0.0060400435221620984</v>
      </c>
    </row>
    <row r="56" spans="1:34" ht="14.5">
      <c r="A56" t="s">
        <v>11</v>
      </c>
      <c r="B56" t="s">
        <v>375</v>
      </c>
      <c r="D56" s="68">
        <f>D55+1</f>
        <v>24</v>
      </c>
      <c r="E56" t="s">
        <v>475</v>
      </c>
      <c r="F56" s="222" t="s">
        <v>474</v>
      </c>
      <c r="G56" s="225">
        <v>0</v>
      </c>
      <c r="H56" s="227">
        <v>0</v>
      </c>
      <c r="I56" s="225">
        <v>0</v>
      </c>
      <c r="J56" s="227">
        <v>0</v>
      </c>
      <c r="K56" s="225">
        <v>0</v>
      </c>
      <c r="L56" s="227">
        <v>0</v>
      </c>
      <c r="M56" s="225">
        <v>0</v>
      </c>
      <c r="N56" s="227">
        <v>0</v>
      </c>
      <c r="O56" s="225">
        <v>0</v>
      </c>
      <c r="P56" s="227">
        <v>0</v>
      </c>
      <c r="Q56" s="225">
        <v>0</v>
      </c>
      <c r="R56" s="227">
        <v>0</v>
      </c>
      <c r="S56" s="225">
        <v>20</v>
      </c>
      <c r="T56" s="227">
        <v>528.79999999999995</v>
      </c>
      <c r="U56" s="225">
        <v>12</v>
      </c>
      <c r="V56" s="227">
        <v>305.60000000000002</v>
      </c>
      <c r="W56" s="225">
        <v>23</v>
      </c>
      <c r="X56" s="227">
        <v>647</v>
      </c>
      <c r="Y56" s="225">
        <v>7</v>
      </c>
      <c r="Z56" s="227">
        <v>206.06</v>
      </c>
      <c r="AA56" s="225">
        <v>7</v>
      </c>
      <c r="AB56" s="227">
        <v>197.28</v>
      </c>
      <c r="AC56" s="225">
        <v>26</v>
      </c>
      <c r="AD56" s="227">
        <v>761.64999999999998</v>
      </c>
      <c r="AE56" s="232">
        <v>95</v>
      </c>
      <c r="AF56" s="233">
        <v>0.0020256295443399647</v>
      </c>
      <c r="AG56" s="234">
        <v>2646.3899999999999</v>
      </c>
      <c r="AH56" s="233">
        <v>0.0049588664000566347</v>
      </c>
    </row>
    <row r="57" spans="1:34" ht="14.5">
      <c r="A57" t="s">
        <v>11</v>
      </c>
      <c r="B57" t="s">
        <v>376</v>
      </c>
      <c r="D57" s="68">
        <f>D56+1</f>
        <v>25</v>
      </c>
      <c r="E57" t="s">
        <v>487</v>
      </c>
      <c r="F57" s="222" t="s">
        <v>488</v>
      </c>
      <c r="G57" s="225">
        <v>45</v>
      </c>
      <c r="H57" s="227">
        <v>630</v>
      </c>
      <c r="I57" s="225">
        <v>0</v>
      </c>
      <c r="J57" s="227">
        <v>0</v>
      </c>
      <c r="K57" s="225">
        <v>-1</v>
      </c>
      <c r="L57" s="227">
        <v>-14</v>
      </c>
      <c r="M57" s="225">
        <v>0</v>
      </c>
      <c r="N57" s="227">
        <v>0</v>
      </c>
      <c r="O57" s="225">
        <v>0</v>
      </c>
      <c r="P57" s="227">
        <v>0</v>
      </c>
      <c r="Q57" s="225">
        <v>0</v>
      </c>
      <c r="R57" s="227">
        <v>0</v>
      </c>
      <c r="S57" s="225">
        <v>0</v>
      </c>
      <c r="T57" s="227">
        <v>0</v>
      </c>
      <c r="U57" s="225">
        <v>0</v>
      </c>
      <c r="V57" s="227">
        <v>0</v>
      </c>
      <c r="W57" s="225">
        <v>0</v>
      </c>
      <c r="X57" s="227">
        <v>0</v>
      </c>
      <c r="Y57" s="225">
        <v>0</v>
      </c>
      <c r="Z57" s="227">
        <v>0</v>
      </c>
      <c r="AA57" s="225">
        <v>0</v>
      </c>
      <c r="AB57" s="227">
        <v>0</v>
      </c>
      <c r="AC57" s="225">
        <v>0</v>
      </c>
      <c r="AD57" s="227">
        <v>0</v>
      </c>
      <c r="AE57" s="232">
        <v>44</v>
      </c>
      <c r="AF57" s="233">
        <v>0.00093818631527324678</v>
      </c>
      <c r="AG57" s="234">
        <v>616</v>
      </c>
      <c r="AH57" s="233">
        <v>0.0011542749566144396</v>
      </c>
    </row>
    <row r="58" spans="1:34" ht="14.5">
      <c r="A58" t="s">
        <v>11</v>
      </c>
      <c r="B58" t="s">
        <v>377</v>
      </c>
      <c r="D58" s="68">
        <f>D57+1</f>
        <v>26</v>
      </c>
      <c r="E58" t="s">
        <v>489</v>
      </c>
      <c r="F58" s="222" t="s">
        <v>490</v>
      </c>
      <c r="G58" s="225">
        <v>2</v>
      </c>
      <c r="H58" s="227">
        <v>80</v>
      </c>
      <c r="I58" s="225">
        <v>3</v>
      </c>
      <c r="J58" s="227">
        <v>121.54000000000001</v>
      </c>
      <c r="K58" s="225">
        <v>1</v>
      </c>
      <c r="L58" s="227">
        <v>40.770000000000003</v>
      </c>
      <c r="M58" s="225">
        <v>3</v>
      </c>
      <c r="N58" s="227">
        <v>120.77000000000001</v>
      </c>
      <c r="O58" s="225">
        <v>6</v>
      </c>
      <c r="P58" s="227">
        <v>240</v>
      </c>
      <c r="Q58" s="225">
        <v>3</v>
      </c>
      <c r="R58" s="227">
        <v>123.38</v>
      </c>
      <c r="S58" s="225">
        <v>3</v>
      </c>
      <c r="T58" s="227">
        <v>122.55</v>
      </c>
      <c r="U58" s="225">
        <v>1</v>
      </c>
      <c r="V58" s="227">
        <v>40</v>
      </c>
      <c r="W58" s="225">
        <v>1</v>
      </c>
      <c r="X58" s="227">
        <v>40</v>
      </c>
      <c r="Y58" s="225">
        <v>2</v>
      </c>
      <c r="Z58" s="227">
        <v>86</v>
      </c>
      <c r="AA58" s="225">
        <v>2</v>
      </c>
      <c r="AB58" s="227">
        <v>87.400000000000006</v>
      </c>
      <c r="AC58" s="225">
        <v>2</v>
      </c>
      <c r="AD58" s="227">
        <v>86</v>
      </c>
      <c r="AE58" s="232">
        <v>29</v>
      </c>
      <c r="AF58" s="233">
        <v>0.00061835007143009441</v>
      </c>
      <c r="AG58" s="234">
        <v>1188.4100000000001</v>
      </c>
      <c r="AH58" s="233">
        <v>0.0022268699694645558</v>
      </c>
    </row>
    <row r="59" spans="1:34" ht="14.5">
      <c r="A59" t="s">
        <v>11</v>
      </c>
      <c r="B59" t="s">
        <v>378</v>
      </c>
      <c r="D59" s="68">
        <f>D58+1</f>
        <v>27</v>
      </c>
      <c r="E59" t="s">
        <v>477</v>
      </c>
      <c r="F59" s="222" t="s">
        <v>476</v>
      </c>
      <c r="G59" s="225">
        <v>0</v>
      </c>
      <c r="H59" s="227">
        <v>0</v>
      </c>
      <c r="I59" s="225">
        <v>0</v>
      </c>
      <c r="J59" s="227">
        <v>0</v>
      </c>
      <c r="K59" s="225">
        <v>0</v>
      </c>
      <c r="L59" s="227">
        <v>0</v>
      </c>
      <c r="M59" s="225">
        <v>0</v>
      </c>
      <c r="N59" s="227">
        <v>0</v>
      </c>
      <c r="O59" s="225">
        <v>0</v>
      </c>
      <c r="P59" s="227">
        <v>0</v>
      </c>
      <c r="Q59" s="225">
        <v>0</v>
      </c>
      <c r="R59" s="227">
        <v>0</v>
      </c>
      <c r="S59" s="225">
        <v>0</v>
      </c>
      <c r="T59" s="227">
        <v>0</v>
      </c>
      <c r="U59" s="225">
        <v>0</v>
      </c>
      <c r="V59" s="227">
        <v>0</v>
      </c>
      <c r="W59" s="225">
        <v>0</v>
      </c>
      <c r="X59" s="227">
        <v>0</v>
      </c>
      <c r="Y59" s="225">
        <v>7</v>
      </c>
      <c r="Z59" s="227">
        <v>133</v>
      </c>
      <c r="AA59" s="225">
        <v>5</v>
      </c>
      <c r="AB59" s="227">
        <v>95</v>
      </c>
      <c r="AC59" s="225">
        <v>10</v>
      </c>
      <c r="AD59" s="227">
        <v>190</v>
      </c>
      <c r="AE59" s="232">
        <v>22</v>
      </c>
      <c r="AF59" s="233">
        <v>0.00046909315763662339</v>
      </c>
      <c r="AG59" s="234">
        <v>418</v>
      </c>
      <c r="AH59" s="233">
        <v>0.00078325800627408401</v>
      </c>
    </row>
    <row r="60" spans="1:34" ht="14.5">
      <c r="A60" t="s">
        <v>11</v>
      </c>
      <c r="B60" t="s">
        <v>379</v>
      </c>
      <c r="D60" s="68">
        <f>D59+1</f>
        <v>28</v>
      </c>
      <c r="E60" t="s">
        <v>491</v>
      </c>
      <c r="F60" s="222" t="s">
        <v>492</v>
      </c>
      <c r="G60" s="225">
        <v>4</v>
      </c>
      <c r="H60" s="227">
        <v>51.68</v>
      </c>
      <c r="I60" s="225">
        <v>6</v>
      </c>
      <c r="J60" s="227">
        <v>77.359999999999999</v>
      </c>
      <c r="K60" s="225">
        <v>5</v>
      </c>
      <c r="L60" s="227">
        <v>64.680000000000007</v>
      </c>
      <c r="M60" s="225">
        <v>1</v>
      </c>
      <c r="N60" s="227">
        <v>13</v>
      </c>
      <c r="O60" s="225">
        <v>0</v>
      </c>
      <c r="P60" s="227">
        <v>0</v>
      </c>
      <c r="Q60" s="225">
        <v>0</v>
      </c>
      <c r="R60" s="227">
        <v>0</v>
      </c>
      <c r="S60" s="225">
        <v>0</v>
      </c>
      <c r="T60" s="227">
        <v>0</v>
      </c>
      <c r="U60" s="225">
        <v>0</v>
      </c>
      <c r="V60" s="227">
        <v>0</v>
      </c>
      <c r="W60" s="225">
        <v>0</v>
      </c>
      <c r="X60" s="227">
        <v>0</v>
      </c>
      <c r="Y60" s="225">
        <v>0</v>
      </c>
      <c r="Z60" s="227">
        <v>0</v>
      </c>
      <c r="AA60" s="225">
        <v>0</v>
      </c>
      <c r="AB60" s="227">
        <v>0</v>
      </c>
      <c r="AC60" s="225">
        <v>0</v>
      </c>
      <c r="AD60" s="227">
        <v>0</v>
      </c>
      <c r="AE60" s="232">
        <v>16</v>
      </c>
      <c r="AF60" s="233">
        <v>0.00034115866009936247</v>
      </c>
      <c r="AG60" s="234">
        <v>206.72</v>
      </c>
      <c r="AH60" s="233">
        <v>0.00038735668673918337</v>
      </c>
    </row>
    <row r="61" spans="1:34" ht="14.5">
      <c r="A61" t="s">
        <v>11</v>
      </c>
      <c r="B61" t="s">
        <v>380</v>
      </c>
      <c r="D61" s="68">
        <f>D60+1</f>
        <v>29</v>
      </c>
      <c r="E61" t="s">
        <v>493</v>
      </c>
      <c r="F61" s="222" t="s">
        <v>494</v>
      </c>
      <c r="G61" s="225">
        <v>1</v>
      </c>
      <c r="H61" s="227">
        <v>6</v>
      </c>
      <c r="I61" s="225">
        <v>0</v>
      </c>
      <c r="J61" s="227">
        <v>0</v>
      </c>
      <c r="K61" s="225">
        <v>0</v>
      </c>
      <c r="L61" s="227">
        <v>0</v>
      </c>
      <c r="M61" s="225">
        <v>0</v>
      </c>
      <c r="N61" s="227">
        <v>0</v>
      </c>
      <c r="O61" s="225">
        <v>0</v>
      </c>
      <c r="P61" s="227">
        <v>0</v>
      </c>
      <c r="Q61" s="225">
        <v>0</v>
      </c>
      <c r="R61" s="227">
        <v>0</v>
      </c>
      <c r="S61" s="225">
        <v>0</v>
      </c>
      <c r="T61" s="227">
        <v>0</v>
      </c>
      <c r="U61" s="225">
        <v>0</v>
      </c>
      <c r="V61" s="227">
        <v>0</v>
      </c>
      <c r="W61" s="225">
        <v>0</v>
      </c>
      <c r="X61" s="227">
        <v>0</v>
      </c>
      <c r="Y61" s="225">
        <v>0</v>
      </c>
      <c r="Z61" s="227">
        <v>0</v>
      </c>
      <c r="AA61" s="225">
        <v>0</v>
      </c>
      <c r="AB61" s="227">
        <v>0</v>
      </c>
      <c r="AC61" s="225">
        <v>0</v>
      </c>
      <c r="AD61" s="227">
        <v>0</v>
      </c>
      <c r="AE61" s="232">
        <v>1</v>
      </c>
      <c r="AF61" s="233">
        <v>2.1322416256210155E-05</v>
      </c>
      <c r="AG61" s="234">
        <v>6</v>
      </c>
      <c r="AH61" s="233">
        <v>1.1242937889101686E-05</v>
      </c>
    </row>
    <row r="62" spans="1:34" ht="14.5">
      <c r="A62" t="s">
        <v>106</v>
      </c>
      <c r="B62" t="s">
        <v>381</v>
      </c>
      <c r="D62" s="146">
        <f>D61+1</f>
        <v>30</v>
      </c>
      <c r="E62" s="117" t="s">
        <v>479</v>
      </c>
      <c r="F62" s="231" t="s">
        <v>478</v>
      </c>
      <c r="G62" s="228">
        <v>0</v>
      </c>
      <c r="H62" s="230">
        <v>0</v>
      </c>
      <c r="I62" s="228">
        <v>0</v>
      </c>
      <c r="J62" s="230">
        <v>0</v>
      </c>
      <c r="K62" s="228">
        <v>0</v>
      </c>
      <c r="L62" s="230">
        <v>0</v>
      </c>
      <c r="M62" s="228">
        <v>1</v>
      </c>
      <c r="N62" s="230">
        <v>5</v>
      </c>
      <c r="O62" s="228">
        <v>0</v>
      </c>
      <c r="P62" s="230">
        <v>0</v>
      </c>
      <c r="Q62" s="228">
        <v>0</v>
      </c>
      <c r="R62" s="230">
        <v>0</v>
      </c>
      <c r="S62" s="228">
        <v>0</v>
      </c>
      <c r="T62" s="230">
        <v>0</v>
      </c>
      <c r="U62" s="228">
        <v>0</v>
      </c>
      <c r="V62" s="230">
        <v>0</v>
      </c>
      <c r="W62" s="228">
        <v>0</v>
      </c>
      <c r="X62" s="230">
        <v>0</v>
      </c>
      <c r="Y62" s="228">
        <v>0</v>
      </c>
      <c r="Z62" s="230">
        <v>0</v>
      </c>
      <c r="AA62" s="228">
        <v>0</v>
      </c>
      <c r="AB62" s="230">
        <v>0</v>
      </c>
      <c r="AC62" s="228">
        <v>0</v>
      </c>
      <c r="AD62" s="230">
        <v>0</v>
      </c>
      <c r="AE62" s="235">
        <v>1</v>
      </c>
      <c r="AF62" s="236">
        <v>2.1322416256210155E-05</v>
      </c>
      <c r="AG62" s="237">
        <v>5</v>
      </c>
      <c r="AH62" s="236">
        <v>9.3691149075847371E-06</v>
      </c>
    </row>
  </sheetData>
  <mergeCells count="26">
    <mergeCell ref="G30:H30"/>
    <mergeCell ref="I30:J30"/>
    <mergeCell ref="K30:L30"/>
    <mergeCell ref="M30:N30"/>
    <mergeCell ref="O30:P30"/>
    <mergeCell ref="Q31:R31"/>
    <mergeCell ref="AE30:AH30"/>
    <mergeCell ref="S30:T30"/>
    <mergeCell ref="U30:V30"/>
    <mergeCell ref="W30:X30"/>
    <mergeCell ref="Y30:Z30"/>
    <mergeCell ref="AA30:AB30"/>
    <mergeCell ref="AC30:AD30"/>
    <mergeCell ref="Q30:R30"/>
    <mergeCell ref="AE31:AH31"/>
    <mergeCell ref="S31:T31"/>
    <mergeCell ref="U31:V31"/>
    <mergeCell ref="W31:X31"/>
    <mergeCell ref="Y31:Z31"/>
    <mergeCell ref="AA31:AB31"/>
    <mergeCell ref="AC31:AD31"/>
    <mergeCell ref="G31:H31"/>
    <mergeCell ref="I31:J31"/>
    <mergeCell ref="K31:L31"/>
    <mergeCell ref="M31:N31"/>
    <mergeCell ref="O31:P31"/>
  </mergeCells>
  <pageMargins left="0.708661417322835" right="0.708661417322835" top="0.748031496062992" bottom="0.748031496062992" header="0.31496062992126" footer="0.31496062992126"/>
  <pageSetup fitToHeight="40" orientation="landscape" paperSize="9" scale="35" r:id="rId1"/>
  <customProperties>
    <customPr name="CUSTOMPROP:RWBOOKMARKNAME" r:id="rId2"/>
  </customPropertie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AG221"/>
  <sheetViews>
    <sheetView showGridLines="0" workbookViewId="0" topLeftCell="C27"/>
  </sheetViews>
  <sheetFormatPr defaultRowHeight="14.5"/>
  <cols>
    <col min="1" max="1" width="6.18181818181818" hidden="1" customWidth="1"/>
    <col min="2" max="2" width="4.27272727272727" hidden="1" customWidth="1"/>
    <col min="3" max="3" width="1.81818181818182" customWidth="1"/>
    <col min="4" max="4" width="13.7272727272727" customWidth="1"/>
    <col min="5" max="5" width="25.4545454545455" hidden="1" customWidth="1"/>
    <col min="6" max="6" width="34.7272727272727" customWidth="1"/>
    <col min="7" max="7" width="25" customWidth="1"/>
    <col min="8" max="33" width="10.7272727272727" customWidth="1"/>
  </cols>
  <sheetData>
    <row r="1" spans="1:1" ht="14.5" hidden="1">
      <c r="A1" t="s">
        <v>12</v>
      </c>
    </row>
    <row r="2" spans="1:33" ht="14.5" hidden="1">
      <c r="A2">
        <f>0</f>
        <v>0</v>
      </c>
      <c r="C2" s="31"/>
      <c r="D2" s="1"/>
      <c r="E2" s="1"/>
      <c r="F2" s="148"/>
      <c r="G2" s="149"/>
      <c r="H2" s="150"/>
      <c r="I2" s="151"/>
      <c r="J2" s="150"/>
      <c r="K2" s="151"/>
      <c r="L2" s="150"/>
      <c r="M2" s="151"/>
      <c r="N2" s="150"/>
      <c r="O2" s="151"/>
      <c r="P2" s="150"/>
      <c r="Q2" s="151"/>
      <c r="R2" s="150"/>
      <c r="S2" s="151"/>
      <c r="T2" s="150"/>
      <c r="U2" s="151"/>
      <c r="V2" s="150"/>
      <c r="W2" s="151"/>
      <c r="X2" s="150"/>
      <c r="Y2" s="151"/>
      <c r="Z2" s="150"/>
      <c r="AA2" s="151"/>
      <c r="AB2" s="150"/>
      <c r="AC2" s="151"/>
      <c r="AD2" s="150"/>
      <c r="AE2" s="151"/>
      <c r="AF2" s="152"/>
      <c r="AG2" s="147"/>
    </row>
    <row r="3" spans="1:33" ht="14.5" hidden="1">
      <c r="A3">
        <f>1</f>
        <v>1</v>
      </c>
      <c r="C3" s="31"/>
      <c r="D3" s="153"/>
      <c r="E3" s="100"/>
      <c r="F3" s="126"/>
      <c r="G3" s="127"/>
      <c r="H3" s="101"/>
      <c r="I3" s="102"/>
      <c r="J3" s="101"/>
      <c r="K3" s="102"/>
      <c r="L3" s="101"/>
      <c r="M3" s="102"/>
      <c r="N3" s="101"/>
      <c r="O3" s="102"/>
      <c r="P3" s="101"/>
      <c r="Q3" s="102"/>
      <c r="R3" s="101"/>
      <c r="S3" s="102"/>
      <c r="T3" s="101"/>
      <c r="U3" s="102"/>
      <c r="V3" s="101"/>
      <c r="W3" s="102"/>
      <c r="X3" s="101"/>
      <c r="Y3" s="102"/>
      <c r="Z3" s="101"/>
      <c r="AA3" s="102"/>
      <c r="AB3" s="101"/>
      <c r="AC3" s="102"/>
      <c r="AD3" s="101"/>
      <c r="AE3" s="102"/>
      <c r="AF3" s="101"/>
      <c r="AG3" s="102"/>
    </row>
    <row r="4" spans="1:33" ht="14.5" hidden="1">
      <c r="A4">
        <f>2</f>
        <v>2</v>
      </c>
      <c r="C4" s="31"/>
      <c r="F4" s="59"/>
      <c r="G4" s="31"/>
      <c r="H4" s="64"/>
      <c r="I4" s="94"/>
      <c r="J4" s="64"/>
      <c r="K4" s="94"/>
      <c r="L4" s="64"/>
      <c r="M4" s="94"/>
      <c r="N4" s="64"/>
      <c r="O4" s="94"/>
      <c r="P4" s="64"/>
      <c r="Q4" s="94"/>
      <c r="R4" s="64"/>
      <c r="S4" s="94"/>
      <c r="T4" s="64"/>
      <c r="U4" s="94"/>
      <c r="V4" s="64"/>
      <c r="W4" s="94"/>
      <c r="X4" s="64"/>
      <c r="Y4" s="94"/>
      <c r="Z4" s="64"/>
      <c r="AA4" s="94"/>
      <c r="AB4" s="64"/>
      <c r="AC4" s="94"/>
      <c r="AD4" s="64"/>
      <c r="AE4" s="94"/>
      <c r="AF4" s="95"/>
      <c r="AG4" s="69"/>
    </row>
    <row r="5" spans="1:33" ht="14.5" hidden="1">
      <c r="A5">
        <f>3</f>
        <v>3</v>
      </c>
      <c r="C5" s="31"/>
      <c r="F5" s="59"/>
      <c r="G5" s="31"/>
      <c r="H5" s="64"/>
      <c r="I5" s="94"/>
      <c r="J5" s="64"/>
      <c r="K5" s="94"/>
      <c r="L5" s="64"/>
      <c r="M5" s="94"/>
      <c r="N5" s="64"/>
      <c r="O5" s="94"/>
      <c r="P5" s="64"/>
      <c r="Q5" s="94"/>
      <c r="R5" s="64"/>
      <c r="S5" s="94"/>
      <c r="T5" s="64"/>
      <c r="U5" s="94"/>
      <c r="V5" s="64"/>
      <c r="W5" s="94"/>
      <c r="X5" s="64"/>
      <c r="Y5" s="94"/>
      <c r="Z5" s="64"/>
      <c r="AA5" s="94"/>
      <c r="AB5" s="64"/>
      <c r="AC5" s="94"/>
      <c r="AD5" s="64"/>
      <c r="AE5" s="94"/>
      <c r="AF5" s="95"/>
      <c r="AG5" s="69"/>
    </row>
    <row r="6" spans="1:33" ht="14.25" customHeight="1" hidden="1">
      <c r="A6" t="s">
        <v>10</v>
      </c>
      <c r="C6" s="31"/>
      <c r="F6" s="59"/>
      <c r="G6" s="31"/>
      <c r="H6" s="64"/>
      <c r="I6" s="94"/>
      <c r="J6" s="64"/>
      <c r="K6" s="94"/>
      <c r="L6" s="64"/>
      <c r="M6" s="94"/>
      <c r="N6" s="64"/>
      <c r="O6" s="94"/>
      <c r="P6" s="64"/>
      <c r="Q6" s="94"/>
      <c r="R6" s="64"/>
      <c r="S6" s="94"/>
      <c r="T6" s="64"/>
      <c r="U6" s="94"/>
      <c r="V6" s="64"/>
      <c r="W6" s="94"/>
      <c r="X6" s="64"/>
      <c r="Y6" s="94"/>
      <c r="Z6" s="64"/>
      <c r="AA6" s="94"/>
      <c r="AB6" s="64"/>
      <c r="AC6" s="94"/>
      <c r="AD6" s="64"/>
      <c r="AE6" s="94"/>
      <c r="AF6" s="95"/>
      <c r="AG6" s="69"/>
    </row>
    <row r="7" spans="1:33" ht="14.5" hidden="1">
      <c r="A7" t="s">
        <v>11</v>
      </c>
      <c r="C7" s="31"/>
      <c r="F7" s="59"/>
      <c r="G7" s="31"/>
      <c r="H7" s="64"/>
      <c r="I7" s="94"/>
      <c r="J7" s="64"/>
      <c r="K7" s="94"/>
      <c r="L7" s="64"/>
      <c r="M7" s="94"/>
      <c r="N7" s="64"/>
      <c r="O7" s="94"/>
      <c r="P7" s="64"/>
      <c r="Q7" s="94"/>
      <c r="R7" s="64"/>
      <c r="S7" s="94"/>
      <c r="T7" s="64"/>
      <c r="U7" s="94"/>
      <c r="V7" s="64"/>
      <c r="W7" s="94"/>
      <c r="X7" s="64"/>
      <c r="Y7" s="94"/>
      <c r="Z7" s="64"/>
      <c r="AA7" s="94"/>
      <c r="AB7" s="64"/>
      <c r="AC7" s="94"/>
      <c r="AD7" s="64"/>
      <c r="AE7" s="94"/>
      <c r="AF7" s="95"/>
      <c r="AG7" s="69"/>
    </row>
    <row r="8" spans="1:33" ht="14.5" hidden="1">
      <c r="A8" t="s">
        <v>90</v>
      </c>
      <c r="F8" s="157"/>
      <c r="G8" s="199"/>
      <c r="H8" s="202"/>
      <c r="I8" s="203"/>
      <c r="J8" s="204"/>
      <c r="K8" s="203"/>
      <c r="L8" s="204"/>
      <c r="M8" s="203"/>
      <c r="N8" s="204"/>
      <c r="O8" s="203"/>
      <c r="P8" s="204"/>
      <c r="Q8" s="203"/>
      <c r="R8" s="204"/>
      <c r="S8" s="203"/>
      <c r="T8" s="204"/>
      <c r="U8" s="203"/>
      <c r="V8" s="204"/>
      <c r="W8" s="203"/>
      <c r="X8" s="204"/>
      <c r="Y8" s="203"/>
      <c r="Z8" s="204"/>
      <c r="AA8" s="203"/>
      <c r="AB8" s="204"/>
      <c r="AC8" s="203"/>
      <c r="AD8" s="204"/>
      <c r="AE8" s="203"/>
      <c r="AF8" s="205"/>
      <c r="AG8" s="114"/>
    </row>
    <row r="9" spans="1:33" ht="14.5" hidden="1">
      <c r="A9" t="s">
        <v>91</v>
      </c>
      <c r="F9" s="59"/>
      <c r="G9" s="31"/>
      <c r="H9" s="107"/>
      <c r="I9" s="70"/>
      <c r="J9" s="107"/>
      <c r="K9" s="70"/>
      <c r="L9" s="107"/>
      <c r="M9" s="70"/>
      <c r="N9" s="107"/>
      <c r="O9" s="70"/>
      <c r="P9" s="107"/>
      <c r="Q9" s="70"/>
      <c r="R9" s="107"/>
      <c r="S9" s="70"/>
      <c r="T9" s="107"/>
      <c r="U9" s="70"/>
      <c r="V9" s="107"/>
      <c r="W9" s="70"/>
      <c r="X9" s="107"/>
      <c r="Y9" s="70"/>
      <c r="Z9" s="107"/>
      <c r="AA9" s="70"/>
      <c r="AB9" s="107"/>
      <c r="AC9" s="70"/>
      <c r="AD9" s="107"/>
      <c r="AE9" s="70"/>
      <c r="AF9" s="95"/>
      <c r="AG9" s="114"/>
    </row>
    <row r="10" spans="1:33" ht="14.5" hidden="1">
      <c r="A10" t="s">
        <v>92</v>
      </c>
      <c r="F10" s="59"/>
      <c r="G10" s="31"/>
      <c r="H10" s="105"/>
      <c r="I10" s="110"/>
      <c r="J10" s="105"/>
      <c r="K10" s="110"/>
      <c r="L10" s="105"/>
      <c r="M10" s="110"/>
      <c r="N10" s="105"/>
      <c r="O10" s="110"/>
      <c r="P10" s="105"/>
      <c r="Q10" s="110"/>
      <c r="R10" s="105"/>
      <c r="S10" s="110"/>
      <c r="T10" s="105"/>
      <c r="U10" s="110"/>
      <c r="V10" s="105"/>
      <c r="W10" s="110"/>
      <c r="X10" s="105"/>
      <c r="Y10" s="110"/>
      <c r="Z10" s="105"/>
      <c r="AA10" s="110"/>
      <c r="AB10" s="105"/>
      <c r="AC10" s="110"/>
      <c r="AD10" s="105"/>
      <c r="AE10" s="110"/>
      <c r="AF10" s="112"/>
      <c r="AG10" s="115"/>
    </row>
    <row r="11" spans="1:33" ht="14.5" hidden="1">
      <c r="A11" t="s">
        <v>93</v>
      </c>
      <c r="F11" s="59"/>
      <c r="G11" s="31"/>
      <c r="H11" s="105"/>
      <c r="I11" s="110"/>
      <c r="J11" s="105"/>
      <c r="K11" s="110"/>
      <c r="L11" s="105"/>
      <c r="M11" s="110"/>
      <c r="N11" s="105"/>
      <c r="O11" s="110"/>
      <c r="P11" s="105"/>
      <c r="Q11" s="110"/>
      <c r="R11" s="105"/>
      <c r="S11" s="110"/>
      <c r="T11" s="105"/>
      <c r="U11" s="110"/>
      <c r="V11" s="105"/>
      <c r="W11" s="110"/>
      <c r="X11" s="105"/>
      <c r="Y11" s="110"/>
      <c r="Z11" s="105"/>
      <c r="AA11" s="110"/>
      <c r="AB11" s="105"/>
      <c r="AC11" s="110"/>
      <c r="AD11" s="105"/>
      <c r="AE11" s="110"/>
      <c r="AF11" s="112"/>
      <c r="AG11" s="115"/>
    </row>
    <row r="12" spans="1:33" ht="14.5" hidden="1">
      <c r="A12" t="s">
        <v>94</v>
      </c>
      <c r="F12" s="59"/>
      <c r="G12" s="31"/>
      <c r="H12" s="106"/>
      <c r="I12" s="111"/>
      <c r="J12" s="106"/>
      <c r="K12" s="111"/>
      <c r="L12" s="106"/>
      <c r="M12" s="111"/>
      <c r="N12" s="106"/>
      <c r="O12" s="111"/>
      <c r="P12" s="106"/>
      <c r="Q12" s="111"/>
      <c r="R12" s="106"/>
      <c r="S12" s="111"/>
      <c r="T12" s="106"/>
      <c r="U12" s="111"/>
      <c r="V12" s="106"/>
      <c r="W12" s="111"/>
      <c r="X12" s="106"/>
      <c r="Y12" s="111"/>
      <c r="Z12" s="106"/>
      <c r="AA12" s="111"/>
      <c r="AB12" s="106"/>
      <c r="AC12" s="111"/>
      <c r="AD12" s="106"/>
      <c r="AE12" s="111"/>
      <c r="AF12" s="113"/>
      <c r="AG12" s="116"/>
    </row>
    <row r="13" spans="1:33" ht="14.5" hidden="1">
      <c r="A13" t="s">
        <v>43</v>
      </c>
      <c r="F13" s="119"/>
      <c r="G13" s="120"/>
      <c r="H13" s="139"/>
      <c r="I13" s="122"/>
      <c r="J13" s="121"/>
      <c r="K13" s="122"/>
      <c r="L13" s="121"/>
      <c r="M13" s="122"/>
      <c r="N13" s="121"/>
      <c r="O13" s="122"/>
      <c r="P13" s="121"/>
      <c r="Q13" s="122"/>
      <c r="R13" s="121"/>
      <c r="S13" s="122"/>
      <c r="T13" s="121"/>
      <c r="U13" s="122"/>
      <c r="V13" s="121"/>
      <c r="W13" s="122"/>
      <c r="X13" s="121"/>
      <c r="Y13" s="122"/>
      <c r="Z13" s="121"/>
      <c r="AA13" s="122"/>
      <c r="AB13" s="121"/>
      <c r="AC13" s="122"/>
      <c r="AD13" s="121"/>
      <c r="AE13" s="122"/>
      <c r="AF13" s="123"/>
      <c r="AG13" s="116"/>
    </row>
    <row r="14" spans="1:1" ht="14.5" hidden="1">
      <c r="A14" t="s">
        <v>13</v>
      </c>
    </row>
    <row r="15" spans="4:4" ht="14.5" hidden="1">
      <c r="D15" t="s">
        <v>275</v>
      </c>
    </row>
    <row r="16" ht="14.5" hidden="1"/>
    <row r="17" spans="4:13" ht="14.5" hidden="1">
      <c r="D17" s="18" t="s">
        <v>0</v>
      </c>
      <c r="E17" s="18" t="s">
        <v>152</v>
      </c>
      <c r="F17" s="1"/>
      <c r="G17" s="1"/>
      <c r="L17" t="s">
        <v>18</v>
      </c>
      <c r="M17" t="s">
        <v>272</v>
      </c>
    </row>
    <row r="18" spans="4:13" ht="14.5" hidden="1">
      <c r="D18" s="18" t="s">
        <v>1</v>
      </c>
      <c r="E18" s="18" t="s">
        <v>246</v>
      </c>
      <c r="F18" s="1"/>
      <c r="G18" s="1"/>
      <c r="L18" s="1" t="s">
        <v>77</v>
      </c>
      <c r="M18" t="s">
        <v>16</v>
      </c>
    </row>
    <row r="19" spans="4:7" ht="14.5" hidden="1">
      <c r="D19" s="18" t="s">
        <v>50</v>
      </c>
      <c r="E19" s="18" t="s">
        <v>8</v>
      </c>
      <c r="F19" s="1"/>
      <c r="G19" s="1"/>
    </row>
    <row r="20" spans="4:7" ht="21.75" customHeight="1" hidden="1">
      <c r="D20" s="18" t="s">
        <v>21</v>
      </c>
      <c r="E20" s="18" t="s">
        <v>495</v>
      </c>
      <c r="F20" s="1"/>
      <c r="G20" s="1"/>
    </row>
    <row r="21" spans="4:7" ht="18" customHeight="1" hidden="1">
      <c r="D21" s="18" t="s">
        <v>4</v>
      </c>
      <c r="E21" s="18" t="s">
        <v>273</v>
      </c>
      <c r="F21" s="1"/>
      <c r="G21" s="1"/>
    </row>
    <row r="22" spans="4:7" ht="15" customHeight="1" hidden="1">
      <c r="D22" s="18" t="s">
        <v>3</v>
      </c>
      <c r="E22" s="18" t="s">
        <v>276</v>
      </c>
      <c r="F22" s="1"/>
      <c r="G22" s="1"/>
    </row>
    <row r="23" spans="4:7" ht="12" customHeight="1" hidden="1">
      <c r="D23" s="18" t="s">
        <v>6</v>
      </c>
      <c r="E23" s="18" t="str">
        <f ca="1">Master!A24</f>
        <v>MERCI</v>
      </c>
      <c r="F23" s="1"/>
      <c r="G23" s="1"/>
    </row>
    <row r="24" spans="4:7" ht="20.25" customHeight="1" hidden="1">
      <c r="D24" s="18" t="s">
        <v>5</v>
      </c>
      <c r="E24" s="18" t="s">
        <v>143</v>
      </c>
      <c r="F24" s="1"/>
      <c r="G24" s="1"/>
    </row>
    <row r="25" spans="4:9" ht="12" customHeight="1" hidden="1">
      <c r="D25" s="18" t="s">
        <v>67</v>
      </c>
      <c r="E25" s="18" t="str">
        <f ca="1">Master!$A$25</f>
        <v>YTD 2025.M12</v>
      </c>
      <c r="F25" s="41" t="str">
        <f ca="1">"YTD "&amp;(E26-1)&amp;"."&amp;RIGHT(E25,3)</f>
        <v>YTD 2024.M12</v>
      </c>
      <c r="G25" s="41"/>
      <c r="H25" s="18" t="str">
        <f ca="1">MID(E25,5,8)</f>
        <v>2025.M12</v>
      </c>
      <c r="I25" s="18" t="s">
        <v>268</v>
      </c>
    </row>
    <row r="26" spans="4:7" ht="15" customHeight="1" hidden="1">
      <c r="D26" s="18" t="s">
        <v>15</v>
      </c>
      <c r="E26" s="18" t="str">
        <f ca="1">MID(E25,5,4)</f>
        <v>2025</v>
      </c>
      <c r="F26" s="1"/>
      <c r="G26" s="1"/>
    </row>
    <row r="27" spans="4:7" ht="14.5">
      <c r="D27" s="1"/>
      <c r="E27" s="1"/>
      <c r="F27" s="1"/>
      <c r="G27" s="1"/>
    </row>
    <row r="28" spans="4:33" ht="14.5">
      <c r="D28" s="6" t="s">
        <v>48</v>
      </c>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t="str">
        <f ca="1">E23</f>
        <v>MERCI</v>
      </c>
      <c r="AG28" s="6"/>
    </row>
    <row r="29" spans="4:33" ht="14.5">
      <c r="D29" s="40" t="s">
        <v>81</v>
      </c>
      <c r="E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t="str">
        <f ca="1">$I$25&amp;" "&amp;$E$26</f>
        <v>December 2025</v>
      </c>
      <c r="AG29" s="40"/>
    </row>
    <row r="31" spans="8:31" ht="14.5" hidden="1">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row>
    <row r="32" spans="8:33" ht="14.5" hidden="1">
      <c r="H32" s="52" t="str">
        <f ca="1">$E$26&amp;".M01"</f>
        <v>2025.M01</v>
      </c>
      <c r="I32" s="52" t="str">
        <f ca="1">$E$26&amp;".M01"</f>
        <v>2025.M01</v>
      </c>
      <c r="J32" s="52" t="str">
        <f ca="1">$E$26&amp;".M02"</f>
        <v>2025.M02</v>
      </c>
      <c r="K32" s="52" t="str">
        <f ca="1">$E$26&amp;".M02"</f>
        <v>2025.M02</v>
      </c>
      <c r="L32" s="52" t="str">
        <f ca="1">$E$26&amp;".M03"</f>
        <v>2025.M03</v>
      </c>
      <c r="M32" s="52" t="str">
        <f ca="1">$E$26&amp;".M03"</f>
        <v>2025.M03</v>
      </c>
      <c r="N32" s="52" t="str">
        <f ca="1">$E$26&amp;".M04"</f>
        <v>2025.M04</v>
      </c>
      <c r="O32" s="52" t="str">
        <f ca="1">$E$26&amp;".M04"</f>
        <v>2025.M04</v>
      </c>
      <c r="P32" s="52" t="str">
        <f ca="1">$E$26&amp;".M05"</f>
        <v>2025.M05</v>
      </c>
      <c r="Q32" s="52" t="str">
        <f ca="1">$E$26&amp;".M05"</f>
        <v>2025.M05</v>
      </c>
      <c r="R32" s="52" t="str">
        <f ca="1">$E$26&amp;".M06"</f>
        <v>2025.M06</v>
      </c>
      <c r="S32" s="52" t="str">
        <f ca="1">$E$26&amp;".M06"</f>
        <v>2025.M06</v>
      </c>
      <c r="T32" s="52" t="str">
        <f ca="1">$E$26&amp;".M07"</f>
        <v>2025.M07</v>
      </c>
      <c r="U32" s="52" t="str">
        <f ca="1">$E$26&amp;".M07"</f>
        <v>2025.M07</v>
      </c>
      <c r="V32" s="52" t="str">
        <f ca="1">$E$26&amp;".M08"</f>
        <v>2025.M08</v>
      </c>
      <c r="W32" s="52" t="str">
        <f ca="1">$E$26&amp;".M08"</f>
        <v>2025.M08</v>
      </c>
      <c r="X32" s="52" t="str">
        <f ca="1">$E$26&amp;".M09"</f>
        <v>2025.M09</v>
      </c>
      <c r="Y32" s="52" t="str">
        <f ca="1">$E$26&amp;".M09"</f>
        <v>2025.M09</v>
      </c>
      <c r="Z32" s="52" t="str">
        <f ca="1">$E$26&amp;".M10"</f>
        <v>2025.M10</v>
      </c>
      <c r="AA32" s="52" t="str">
        <f ca="1">$E$26&amp;".M10"</f>
        <v>2025.M10</v>
      </c>
      <c r="AB32" s="52" t="str">
        <f ca="1">$E$26&amp;".M11"</f>
        <v>2025.M11</v>
      </c>
      <c r="AC32" s="52" t="str">
        <f ca="1">$E$26&amp;".M11"</f>
        <v>2025.M11</v>
      </c>
      <c r="AD32" s="52" t="str">
        <f ca="1">$E$26&amp;".M12"</f>
        <v>2025.M12</v>
      </c>
      <c r="AE32" s="52" t="str">
        <f ca="1">$E$26&amp;".M12"</f>
        <v>2025.M12</v>
      </c>
      <c r="AF32" s="52" t="str">
        <f ca="1">$E$25</f>
        <v>YTD 2025.M12</v>
      </c>
      <c r="AG32" s="52" t="str">
        <f ca="1">$E$25</f>
        <v>YTD 2025.M12</v>
      </c>
    </row>
    <row r="33" spans="8:33" ht="14.5" hidden="1">
      <c r="H33" s="52" t="s">
        <v>45</v>
      </c>
      <c r="I33" s="52" t="s">
        <v>44</v>
      </c>
      <c r="J33" s="52" t="s">
        <v>45</v>
      </c>
      <c r="K33" s="52" t="s">
        <v>44</v>
      </c>
      <c r="L33" s="52" t="s">
        <v>45</v>
      </c>
      <c r="M33" s="52" t="s">
        <v>44</v>
      </c>
      <c r="N33" s="52" t="s">
        <v>45</v>
      </c>
      <c r="O33" s="52" t="s">
        <v>44</v>
      </c>
      <c r="P33" s="52" t="s">
        <v>45</v>
      </c>
      <c r="Q33" s="52" t="s">
        <v>44</v>
      </c>
      <c r="R33" s="52" t="s">
        <v>45</v>
      </c>
      <c r="S33" s="52" t="s">
        <v>44</v>
      </c>
      <c r="T33" s="52" t="s">
        <v>45</v>
      </c>
      <c r="U33" s="52" t="s">
        <v>44</v>
      </c>
      <c r="V33" s="52" t="s">
        <v>45</v>
      </c>
      <c r="W33" s="52" t="s">
        <v>44</v>
      </c>
      <c r="X33" s="52" t="s">
        <v>45</v>
      </c>
      <c r="Y33" s="52" t="s">
        <v>44</v>
      </c>
      <c r="Z33" s="52" t="s">
        <v>45</v>
      </c>
      <c r="AA33" s="52" t="s">
        <v>44</v>
      </c>
      <c r="AB33" s="52" t="s">
        <v>45</v>
      </c>
      <c r="AC33" s="52" t="s">
        <v>44</v>
      </c>
      <c r="AD33" s="52" t="s">
        <v>45</v>
      </c>
      <c r="AE33" s="52" t="s">
        <v>44</v>
      </c>
      <c r="AF33" s="52" t="s">
        <v>45</v>
      </c>
      <c r="AG33" s="52" t="s">
        <v>79</v>
      </c>
    </row>
    <row r="34" spans="4:33" ht="14.5">
      <c r="D34" s="88"/>
      <c r="E34" s="89"/>
      <c r="F34" s="88"/>
      <c r="G34" s="89"/>
      <c r="H34" s="300" t="s">
        <v>267</v>
      </c>
      <c r="I34" s="300"/>
      <c r="J34" s="300" t="s">
        <v>244</v>
      </c>
      <c r="K34" s="300"/>
      <c r="L34" s="300" t="s">
        <v>269</v>
      </c>
      <c r="M34" s="300"/>
      <c r="N34" s="300" t="s">
        <v>242</v>
      </c>
      <c r="O34" s="300"/>
      <c r="P34" s="300" t="s">
        <v>264</v>
      </c>
      <c r="Q34" s="300"/>
      <c r="R34" s="300" t="s">
        <v>266</v>
      </c>
      <c r="S34" s="300"/>
      <c r="T34" s="300" t="s">
        <v>386</v>
      </c>
      <c r="U34" s="300"/>
      <c r="V34" s="300" t="s">
        <v>387</v>
      </c>
      <c r="W34" s="300"/>
      <c r="X34" s="300" t="s">
        <v>388</v>
      </c>
      <c r="Y34" s="300"/>
      <c r="Z34" s="300" t="s">
        <v>389</v>
      </c>
      <c r="AA34" s="300"/>
      <c r="AB34" s="300" t="s">
        <v>390</v>
      </c>
      <c r="AC34" s="300"/>
      <c r="AD34" s="300" t="s">
        <v>391</v>
      </c>
      <c r="AE34" s="300"/>
      <c r="AF34" s="300" t="str">
        <f ca="1">LEFT(AF32,8)</f>
        <v>YTD 2025</v>
      </c>
      <c r="AG34" s="315"/>
    </row>
    <row r="35" spans="4:33" ht="14.5">
      <c r="D35" s="103"/>
      <c r="E35" s="104"/>
      <c r="F35" s="128" t="s">
        <v>82</v>
      </c>
      <c r="G35" s="109"/>
      <c r="H35" s="313">
        <v>4</v>
      </c>
      <c r="I35" s="313"/>
      <c r="J35" s="313">
        <v>4</v>
      </c>
      <c r="K35" s="313"/>
      <c r="L35" s="313">
        <v>5</v>
      </c>
      <c r="M35" s="313"/>
      <c r="N35" s="313">
        <v>4</v>
      </c>
      <c r="O35" s="313"/>
      <c r="P35" s="313">
        <v>4</v>
      </c>
      <c r="Q35" s="313"/>
      <c r="R35" s="313">
        <v>5</v>
      </c>
      <c r="S35" s="313"/>
      <c r="T35" s="313">
        <v>4</v>
      </c>
      <c r="U35" s="313"/>
      <c r="V35" s="313">
        <v>4</v>
      </c>
      <c r="W35" s="313"/>
      <c r="X35" s="313">
        <v>5</v>
      </c>
      <c r="Y35" s="313"/>
      <c r="Z35" s="313">
        <v>4</v>
      </c>
      <c r="AA35" s="313"/>
      <c r="AB35" s="313">
        <v>4</v>
      </c>
      <c r="AC35" s="313"/>
      <c r="AD35" s="313">
        <v>5</v>
      </c>
      <c r="AE35" s="313"/>
      <c r="AF35" s="313">
        <v>52</v>
      </c>
      <c r="AG35" s="314"/>
    </row>
    <row r="36" spans="4:33" ht="14.5">
      <c r="D36" s="72"/>
      <c r="E36" s="73"/>
      <c r="F36" s="72"/>
      <c r="G36" s="73"/>
      <c r="H36" s="96" t="s">
        <v>63</v>
      </c>
      <c r="I36" s="96" t="s">
        <v>78</v>
      </c>
      <c r="J36" s="96" t="s">
        <v>63</v>
      </c>
      <c r="K36" s="96" t="s">
        <v>78</v>
      </c>
      <c r="L36" s="96" t="s">
        <v>63</v>
      </c>
      <c r="M36" s="96" t="s">
        <v>78</v>
      </c>
      <c r="N36" s="96" t="s">
        <v>63</v>
      </c>
      <c r="O36" s="96" t="s">
        <v>78</v>
      </c>
      <c r="P36" s="96" t="s">
        <v>63</v>
      </c>
      <c r="Q36" s="96" t="s">
        <v>78</v>
      </c>
      <c r="R36" s="96" t="s">
        <v>63</v>
      </c>
      <c r="S36" s="96" t="s">
        <v>78</v>
      </c>
      <c r="T36" s="96" t="s">
        <v>63</v>
      </c>
      <c r="U36" s="96" t="s">
        <v>78</v>
      </c>
      <c r="V36" s="96" t="s">
        <v>63</v>
      </c>
      <c r="W36" s="96" t="s">
        <v>78</v>
      </c>
      <c r="X36" s="96" t="s">
        <v>63</v>
      </c>
      <c r="Y36" s="96" t="s">
        <v>78</v>
      </c>
      <c r="Z36" s="96" t="s">
        <v>63</v>
      </c>
      <c r="AA36" s="96" t="s">
        <v>78</v>
      </c>
      <c r="AB36" s="96" t="s">
        <v>63</v>
      </c>
      <c r="AC36" s="96" t="s">
        <v>78</v>
      </c>
      <c r="AD36" s="96" t="s">
        <v>63</v>
      </c>
      <c r="AE36" s="96" t="s">
        <v>78</v>
      </c>
      <c r="AF36" s="96" t="s">
        <v>63</v>
      </c>
      <c r="AG36" s="96" t="s">
        <v>80</v>
      </c>
    </row>
    <row r="37" spans="1:33" ht="14.5">
      <c r="A37" t="s">
        <v>11</v>
      </c>
      <c r="C37" s="31"/>
      <c r="D37" t="s">
        <v>496</v>
      </c>
      <c r="E37" t="s">
        <v>497</v>
      </c>
      <c r="F37" s="59" t="str">
        <f ca="1">E37</f>
        <v>Cosmetica Toorak Rd</v>
      </c>
      <c r="G37" s="31"/>
      <c r="H37" s="64">
        <v>0</v>
      </c>
      <c r="I37" s="94">
        <v>0</v>
      </c>
      <c r="J37" s="64">
        <v>0</v>
      </c>
      <c r="K37" s="94">
        <v>0</v>
      </c>
      <c r="L37" s="64">
        <v>0</v>
      </c>
      <c r="M37" s="94">
        <v>0</v>
      </c>
      <c r="N37" s="64">
        <v>0</v>
      </c>
      <c r="O37" s="94">
        <v>0</v>
      </c>
      <c r="P37" s="64">
        <v>0</v>
      </c>
      <c r="Q37" s="94">
        <v>0</v>
      </c>
      <c r="R37" s="64">
        <v>0</v>
      </c>
      <c r="S37" s="94">
        <v>0</v>
      </c>
      <c r="T37" s="64">
        <v>0</v>
      </c>
      <c r="U37" s="94">
        <v>0</v>
      </c>
      <c r="V37" s="64">
        <v>0</v>
      </c>
      <c r="W37" s="94">
        <v>0</v>
      </c>
      <c r="X37" s="64">
        <v>0</v>
      </c>
      <c r="Y37" s="94">
        <v>-1</v>
      </c>
      <c r="Z37" s="64">
        <v>0</v>
      </c>
      <c r="AA37" s="94">
        <v>0</v>
      </c>
      <c r="AB37" s="64">
        <v>0</v>
      </c>
      <c r="AC37" s="94">
        <v>0</v>
      </c>
      <c r="AD37" s="64">
        <v>0</v>
      </c>
      <c r="AE37" s="94">
        <v>0</v>
      </c>
      <c r="AF37" s="95">
        <v>0</v>
      </c>
      <c r="AG37" s="69">
        <v>0</v>
      </c>
    </row>
    <row r="38" spans="1:33" ht="14.5">
      <c r="A38" t="s">
        <v>11</v>
      </c>
      <c r="C38" s="31"/>
      <c r="D38" t="s">
        <v>219</v>
      </c>
      <c r="E38" t="s">
        <v>498</v>
      </c>
      <c r="F38" s="59" t="str">
        <f ca="1">E38</f>
        <v>Cosmetica Chadstone</v>
      </c>
      <c r="G38" s="31"/>
      <c r="H38" s="64">
        <v>0</v>
      </c>
      <c r="I38" s="94">
        <v>0</v>
      </c>
      <c r="J38" s="64">
        <v>0</v>
      </c>
      <c r="K38" s="94">
        <v>0</v>
      </c>
      <c r="L38" s="64">
        <v>0</v>
      </c>
      <c r="M38" s="94">
        <v>0</v>
      </c>
      <c r="N38" s="64">
        <v>0</v>
      </c>
      <c r="O38" s="94">
        <v>-1</v>
      </c>
      <c r="P38" s="64">
        <v>0</v>
      </c>
      <c r="Q38" s="94">
        <v>0</v>
      </c>
      <c r="R38" s="64">
        <v>0</v>
      </c>
      <c r="S38" s="94">
        <v>0</v>
      </c>
      <c r="T38" s="64">
        <v>0</v>
      </c>
      <c r="U38" s="94">
        <v>0</v>
      </c>
      <c r="V38" s="64">
        <v>0</v>
      </c>
      <c r="W38" s="94">
        <v>0</v>
      </c>
      <c r="X38" s="64">
        <v>0</v>
      </c>
      <c r="Y38" s="94">
        <v>0</v>
      </c>
      <c r="Z38" s="64">
        <v>0</v>
      </c>
      <c r="AA38" s="94">
        <v>0</v>
      </c>
      <c r="AB38" s="64">
        <v>0</v>
      </c>
      <c r="AC38" s="94">
        <v>0</v>
      </c>
      <c r="AD38" s="64">
        <v>-17</v>
      </c>
      <c r="AE38" s="94">
        <v>0</v>
      </c>
      <c r="AF38" s="95">
        <v>-17</v>
      </c>
      <c r="AG38" s="69">
        <v>-3.1854990685788108E-05</v>
      </c>
    </row>
    <row r="39" spans="1:33" ht="14.5">
      <c r="A39" t="s">
        <v>11</v>
      </c>
      <c r="C39" s="31"/>
      <c r="D39" t="s">
        <v>218</v>
      </c>
      <c r="E39" t="s">
        <v>499</v>
      </c>
      <c r="F39" s="59" t="str">
        <f ca="1">E39</f>
        <v>Cosmetica Claremont</v>
      </c>
      <c r="G39" s="31"/>
      <c r="H39" s="64">
        <v>-16</v>
      </c>
      <c r="I39" s="94">
        <v>0</v>
      </c>
      <c r="J39" s="64">
        <v>0</v>
      </c>
      <c r="K39" s="94">
        <v>0</v>
      </c>
      <c r="L39" s="64">
        <v>0</v>
      </c>
      <c r="M39" s="94">
        <v>0</v>
      </c>
      <c r="N39" s="64">
        <v>0</v>
      </c>
      <c r="O39" s="94">
        <v>0</v>
      </c>
      <c r="P39" s="64">
        <v>0</v>
      </c>
      <c r="Q39" s="94">
        <v>0</v>
      </c>
      <c r="R39" s="64">
        <v>0</v>
      </c>
      <c r="S39" s="94">
        <v>0</v>
      </c>
      <c r="T39" s="64">
        <v>0</v>
      </c>
      <c r="U39" s="94">
        <v>0</v>
      </c>
      <c r="V39" s="64">
        <v>0</v>
      </c>
      <c r="W39" s="94">
        <v>0</v>
      </c>
      <c r="X39" s="64">
        <v>0</v>
      </c>
      <c r="Y39" s="94">
        <v>0</v>
      </c>
      <c r="Z39" s="64">
        <v>0</v>
      </c>
      <c r="AA39" s="94">
        <v>0</v>
      </c>
      <c r="AB39" s="64">
        <v>0</v>
      </c>
      <c r="AC39" s="94">
        <v>0</v>
      </c>
      <c r="AD39" s="64">
        <v>0</v>
      </c>
      <c r="AE39" s="94">
        <v>0</v>
      </c>
      <c r="AF39" s="95">
        <v>-16</v>
      </c>
      <c r="AG39" s="69">
        <v>-2.9981167704271161E-05</v>
      </c>
    </row>
    <row r="40" spans="1:33" ht="14.5">
      <c r="A40" t="s">
        <v>11</v>
      </c>
      <c r="C40" s="31"/>
      <c r="D40" t="s">
        <v>217</v>
      </c>
      <c r="E40" t="s">
        <v>500</v>
      </c>
      <c r="F40" s="59" t="str">
        <f ca="1">E40</f>
        <v>Cosmetica Queens Plaza</v>
      </c>
      <c r="G40" s="31"/>
      <c r="H40" s="64">
        <v>91</v>
      </c>
      <c r="I40" s="94">
        <v>0</v>
      </c>
      <c r="J40" s="64">
        <v>91</v>
      </c>
      <c r="K40" s="94">
        <v>6.583333333333333</v>
      </c>
      <c r="L40" s="64">
        <v>39</v>
      </c>
      <c r="M40" s="94">
        <v>-0.40000000000000002</v>
      </c>
      <c r="N40" s="64">
        <v>72.799999999999997</v>
      </c>
      <c r="O40" s="94">
        <v>0</v>
      </c>
      <c r="P40" s="64">
        <v>52</v>
      </c>
      <c r="Q40" s="94">
        <v>3</v>
      </c>
      <c r="R40" s="64">
        <v>130</v>
      </c>
      <c r="S40" s="94">
        <v>0.78571428571428581</v>
      </c>
      <c r="T40" s="64">
        <v>52</v>
      </c>
      <c r="U40" s="94">
        <v>-0.2307692307692307</v>
      </c>
      <c r="V40" s="64">
        <v>52</v>
      </c>
      <c r="W40" s="94">
        <v>1</v>
      </c>
      <c r="X40" s="64">
        <v>53</v>
      </c>
      <c r="Y40" s="94">
        <v>0.35897435897435898</v>
      </c>
      <c r="Z40" s="64">
        <v>42</v>
      </c>
      <c r="AA40" s="94">
        <v>-0.46153846153846156</v>
      </c>
      <c r="AB40" s="64">
        <v>0</v>
      </c>
      <c r="AC40" s="94">
        <v>0</v>
      </c>
      <c r="AD40" s="64">
        <v>84</v>
      </c>
      <c r="AE40" s="94">
        <v>2.2307692307692308</v>
      </c>
      <c r="AF40" s="95">
        <v>758.79999999999995</v>
      </c>
      <c r="AG40" s="69">
        <v>0.0014218568783750597</v>
      </c>
    </row>
    <row r="41" spans="1:33" ht="14.5">
      <c r="A41" t="s">
        <v>11</v>
      </c>
      <c r="C41" s="31"/>
      <c r="D41" t="s">
        <v>216</v>
      </c>
      <c r="E41" t="s">
        <v>501</v>
      </c>
      <c r="F41" s="59" t="str">
        <f ca="1">E41</f>
        <v>Cosmetica Mosman</v>
      </c>
      <c r="G41" s="31"/>
      <c r="H41" s="64">
        <v>0</v>
      </c>
      <c r="I41" s="94">
        <v>-1</v>
      </c>
      <c r="J41" s="64">
        <v>0</v>
      </c>
      <c r="K41" s="94">
        <v>0</v>
      </c>
      <c r="L41" s="64">
        <v>0</v>
      </c>
      <c r="M41" s="94">
        <v>0</v>
      </c>
      <c r="N41" s="64">
        <v>0</v>
      </c>
      <c r="O41" s="94">
        <v>0</v>
      </c>
      <c r="P41" s="64">
        <v>0</v>
      </c>
      <c r="Q41" s="94">
        <v>0</v>
      </c>
      <c r="R41" s="64">
        <v>0</v>
      </c>
      <c r="S41" s="94">
        <v>0</v>
      </c>
      <c r="T41" s="64">
        <v>0</v>
      </c>
      <c r="U41" s="94">
        <v>0</v>
      </c>
      <c r="V41" s="64">
        <v>0</v>
      </c>
      <c r="W41" s="94">
        <v>0</v>
      </c>
      <c r="X41" s="64">
        <v>0</v>
      </c>
      <c r="Y41" s="94">
        <v>0</v>
      </c>
      <c r="Z41" s="64">
        <v>0</v>
      </c>
      <c r="AA41" s="94">
        <v>0</v>
      </c>
      <c r="AB41" s="64">
        <v>0</v>
      </c>
      <c r="AC41" s="94">
        <v>0</v>
      </c>
      <c r="AD41" s="64">
        <v>0</v>
      </c>
      <c r="AE41" s="94">
        <v>0</v>
      </c>
      <c r="AF41" s="95">
        <v>0</v>
      </c>
      <c r="AG41" s="69">
        <v>0</v>
      </c>
    </row>
    <row r="42" spans="1:33" ht="14.5">
      <c r="A42" t="s">
        <v>11</v>
      </c>
      <c r="C42" s="31"/>
      <c r="D42" t="s">
        <v>263</v>
      </c>
      <c r="E42" t="s">
        <v>502</v>
      </c>
      <c r="F42" s="59" t="str">
        <f ca="1">E42</f>
        <v>Cosmetica Armadale</v>
      </c>
      <c r="G42" s="31"/>
      <c r="H42" s="64">
        <v>0</v>
      </c>
      <c r="I42" s="94">
        <v>0</v>
      </c>
      <c r="J42" s="64">
        <v>0</v>
      </c>
      <c r="K42" s="94">
        <v>0</v>
      </c>
      <c r="L42" s="64">
        <v>0</v>
      </c>
      <c r="M42" s="94">
        <v>0</v>
      </c>
      <c r="N42" s="64">
        <v>0</v>
      </c>
      <c r="O42" s="94">
        <v>0</v>
      </c>
      <c r="P42" s="64">
        <v>0</v>
      </c>
      <c r="Q42" s="94">
        <v>0</v>
      </c>
      <c r="R42" s="64">
        <v>0</v>
      </c>
      <c r="S42" s="94">
        <v>0</v>
      </c>
      <c r="T42" s="64">
        <v>18</v>
      </c>
      <c r="U42" s="94">
        <v>0</v>
      </c>
      <c r="V42" s="64">
        <v>0</v>
      </c>
      <c r="W42" s="94">
        <v>0</v>
      </c>
      <c r="X42" s="64">
        <v>0</v>
      </c>
      <c r="Y42" s="94">
        <v>0</v>
      </c>
      <c r="Z42" s="64">
        <v>0</v>
      </c>
      <c r="AA42" s="94">
        <v>0</v>
      </c>
      <c r="AB42" s="64">
        <v>0</v>
      </c>
      <c r="AC42" s="94">
        <v>0</v>
      </c>
      <c r="AD42" s="64">
        <v>0</v>
      </c>
      <c r="AE42" s="94">
        <v>0</v>
      </c>
      <c r="AF42" s="95">
        <v>18</v>
      </c>
      <c r="AG42" s="69">
        <v>3.3728813667305055E-05</v>
      </c>
    </row>
    <row r="43" spans="1:33" ht="14.5">
      <c r="A43" t="s">
        <v>11</v>
      </c>
      <c r="C43" s="31"/>
      <c r="D43" t="s">
        <v>215</v>
      </c>
      <c r="E43" t="s">
        <v>503</v>
      </c>
      <c r="F43" s="59" t="str">
        <f ca="1">E43</f>
        <v>Cosmetica Carlton</v>
      </c>
      <c r="G43" s="31"/>
      <c r="H43" s="64">
        <v>0</v>
      </c>
      <c r="I43" s="94">
        <v>0</v>
      </c>
      <c r="J43" s="64">
        <v>0</v>
      </c>
      <c r="K43" s="94">
        <v>0</v>
      </c>
      <c r="L43" s="64">
        <v>0</v>
      </c>
      <c r="M43" s="94">
        <v>0</v>
      </c>
      <c r="N43" s="64">
        <v>0</v>
      </c>
      <c r="O43" s="94">
        <v>0</v>
      </c>
      <c r="P43" s="64">
        <v>18</v>
      </c>
      <c r="Q43" s="94">
        <v>0</v>
      </c>
      <c r="R43" s="64">
        <v>0</v>
      </c>
      <c r="S43" s="94">
        <v>0</v>
      </c>
      <c r="T43" s="64">
        <v>0</v>
      </c>
      <c r="U43" s="94">
        <v>0</v>
      </c>
      <c r="V43" s="64">
        <v>0</v>
      </c>
      <c r="W43" s="94">
        <v>0</v>
      </c>
      <c r="X43" s="64">
        <v>0</v>
      </c>
      <c r="Y43" s="94">
        <v>0</v>
      </c>
      <c r="Z43" s="64">
        <v>0</v>
      </c>
      <c r="AA43" s="94">
        <v>0</v>
      </c>
      <c r="AB43" s="64">
        <v>0</v>
      </c>
      <c r="AC43" s="94">
        <v>0</v>
      </c>
      <c r="AD43" s="64">
        <v>0</v>
      </c>
      <c r="AE43" s="94">
        <v>0</v>
      </c>
      <c r="AF43" s="95">
        <v>18</v>
      </c>
      <c r="AG43" s="69">
        <v>3.3728813667305055E-05</v>
      </c>
    </row>
    <row r="44" spans="1:33" ht="14.5">
      <c r="A44" t="s">
        <v>11</v>
      </c>
      <c r="C44" s="31"/>
      <c r="D44" t="s">
        <v>262</v>
      </c>
      <c r="E44" t="s">
        <v>504</v>
      </c>
      <c r="F44" s="59" t="str">
        <f ca="1">E44</f>
        <v>Cosmetica Camberwell</v>
      </c>
      <c r="G44" s="31"/>
      <c r="H44" s="64">
        <v>0</v>
      </c>
      <c r="I44" s="94">
        <v>0</v>
      </c>
      <c r="J44" s="64">
        <v>0</v>
      </c>
      <c r="K44" s="94">
        <v>0</v>
      </c>
      <c r="L44" s="64">
        <v>0</v>
      </c>
      <c r="M44" s="94">
        <v>0</v>
      </c>
      <c r="N44" s="64">
        <v>0</v>
      </c>
      <c r="O44" s="94">
        <v>0</v>
      </c>
      <c r="P44" s="64">
        <v>0</v>
      </c>
      <c r="Q44" s="94">
        <v>0</v>
      </c>
      <c r="R44" s="64">
        <v>0</v>
      </c>
      <c r="S44" s="94">
        <v>0</v>
      </c>
      <c r="T44" s="64">
        <v>0</v>
      </c>
      <c r="U44" s="94">
        <v>0</v>
      </c>
      <c r="V44" s="64">
        <v>15</v>
      </c>
      <c r="W44" s="94">
        <v>0</v>
      </c>
      <c r="X44" s="64">
        <v>0</v>
      </c>
      <c r="Y44" s="94">
        <v>0</v>
      </c>
      <c r="Z44" s="64">
        <v>0</v>
      </c>
      <c r="AA44" s="94">
        <v>0</v>
      </c>
      <c r="AB44" s="64">
        <v>0</v>
      </c>
      <c r="AC44" s="94">
        <v>0</v>
      </c>
      <c r="AD44" s="64">
        <v>0</v>
      </c>
      <c r="AE44" s="94">
        <v>-1</v>
      </c>
      <c r="AF44" s="95">
        <v>15</v>
      </c>
      <c r="AG44" s="69">
        <v>2.8107344722754211E-05</v>
      </c>
    </row>
    <row r="45" spans="1:33" ht="14.5">
      <c r="A45" t="s">
        <v>11</v>
      </c>
      <c r="C45" s="31"/>
      <c r="D45" t="s">
        <v>214</v>
      </c>
      <c r="E45" t="s">
        <v>505</v>
      </c>
      <c r="F45" s="59" t="str">
        <f ca="1">E45</f>
        <v>Cosmetica Miranda</v>
      </c>
      <c r="G45" s="31"/>
      <c r="H45" s="64">
        <v>-16</v>
      </c>
      <c r="I45" s="94">
        <v>0</v>
      </c>
      <c r="J45" s="64">
        <v>0</v>
      </c>
      <c r="K45" s="94">
        <v>0</v>
      </c>
      <c r="L45" s="64">
        <v>0</v>
      </c>
      <c r="M45" s="94">
        <v>0</v>
      </c>
      <c r="N45" s="64">
        <v>0</v>
      </c>
      <c r="O45" s="94">
        <v>0</v>
      </c>
      <c r="P45" s="64">
        <v>0</v>
      </c>
      <c r="Q45" s="94">
        <v>0</v>
      </c>
      <c r="R45" s="64">
        <v>0</v>
      </c>
      <c r="S45" s="94">
        <v>0</v>
      </c>
      <c r="T45" s="64">
        <v>0</v>
      </c>
      <c r="U45" s="94">
        <v>0</v>
      </c>
      <c r="V45" s="64">
        <v>0</v>
      </c>
      <c r="W45" s="94">
        <v>0</v>
      </c>
      <c r="X45" s="64">
        <v>0</v>
      </c>
      <c r="Y45" s="94">
        <v>0</v>
      </c>
      <c r="Z45" s="64">
        <v>0</v>
      </c>
      <c r="AA45" s="94">
        <v>0</v>
      </c>
      <c r="AB45" s="64">
        <v>0</v>
      </c>
      <c r="AC45" s="94">
        <v>0</v>
      </c>
      <c r="AD45" s="64">
        <v>0</v>
      </c>
      <c r="AE45" s="94">
        <v>0</v>
      </c>
      <c r="AF45" s="95">
        <v>-16</v>
      </c>
      <c r="AG45" s="69">
        <v>-2.9981167704271161E-05</v>
      </c>
    </row>
    <row r="46" spans="1:33" ht="14.5">
      <c r="A46" t="s">
        <v>11</v>
      </c>
      <c r="C46" s="31"/>
      <c r="D46" t="s">
        <v>213</v>
      </c>
      <c r="E46" t="s">
        <v>506</v>
      </c>
      <c r="F46" s="59" t="str">
        <f ca="1">E46</f>
        <v>Cosmetica Pacific Fair</v>
      </c>
      <c r="G46" s="31"/>
      <c r="H46" s="64">
        <v>0</v>
      </c>
      <c r="I46" s="94">
        <v>-1</v>
      </c>
      <c r="J46" s="64">
        <v>0</v>
      </c>
      <c r="K46" s="94">
        <v>-1</v>
      </c>
      <c r="L46" s="64">
        <v>0</v>
      </c>
      <c r="M46" s="94">
        <v>0</v>
      </c>
      <c r="N46" s="64">
        <v>0</v>
      </c>
      <c r="O46" s="94">
        <v>0</v>
      </c>
      <c r="P46" s="64">
        <v>0</v>
      </c>
      <c r="Q46" s="94">
        <v>0</v>
      </c>
      <c r="R46" s="64">
        <v>-13</v>
      </c>
      <c r="S46" s="94">
        <v>0</v>
      </c>
      <c r="T46" s="64">
        <v>0</v>
      </c>
      <c r="U46" s="94">
        <v>0</v>
      </c>
      <c r="V46" s="64">
        <v>0</v>
      </c>
      <c r="W46" s="94">
        <v>0</v>
      </c>
      <c r="X46" s="64">
        <v>0</v>
      </c>
      <c r="Y46" s="94">
        <v>0</v>
      </c>
      <c r="Z46" s="64">
        <v>0</v>
      </c>
      <c r="AA46" s="94">
        <v>0</v>
      </c>
      <c r="AB46" s="64">
        <v>0</v>
      </c>
      <c r="AC46" s="94">
        <v>0</v>
      </c>
      <c r="AD46" s="64">
        <v>0</v>
      </c>
      <c r="AE46" s="94">
        <v>0</v>
      </c>
      <c r="AF46" s="95">
        <v>-13</v>
      </c>
      <c r="AG46" s="69">
        <v>-2.4359698759720318E-05</v>
      </c>
    </row>
    <row r="47" spans="1:33" ht="14.5">
      <c r="A47" t="s">
        <v>11</v>
      </c>
      <c r="C47" s="31"/>
      <c r="D47" t="s">
        <v>212</v>
      </c>
      <c r="E47" t="s">
        <v>507</v>
      </c>
      <c r="F47" s="59" t="str">
        <f ca="1">E47</f>
        <v>Cosmetica Ponsonby</v>
      </c>
      <c r="G47" s="31"/>
      <c r="H47" s="64">
        <v>0</v>
      </c>
      <c r="I47" s="94">
        <v>0</v>
      </c>
      <c r="J47" s="64">
        <v>0</v>
      </c>
      <c r="K47" s="94">
        <v>0</v>
      </c>
      <c r="L47" s="64">
        <v>0</v>
      </c>
      <c r="M47" s="94">
        <v>0</v>
      </c>
      <c r="N47" s="64">
        <v>0</v>
      </c>
      <c r="O47" s="94">
        <v>0</v>
      </c>
      <c r="P47" s="64">
        <v>0</v>
      </c>
      <c r="Q47" s="94">
        <v>0</v>
      </c>
      <c r="R47" s="64">
        <v>0</v>
      </c>
      <c r="S47" s="94">
        <v>0</v>
      </c>
      <c r="T47" s="64">
        <v>0</v>
      </c>
      <c r="U47" s="94">
        <v>0</v>
      </c>
      <c r="V47" s="64">
        <v>0</v>
      </c>
      <c r="W47" s="94">
        <v>0</v>
      </c>
      <c r="X47" s="64">
        <v>24.98</v>
      </c>
      <c r="Y47" s="94">
        <v>0</v>
      </c>
      <c r="Z47" s="64">
        <v>0</v>
      </c>
      <c r="AA47" s="94">
        <v>0</v>
      </c>
      <c r="AB47" s="64">
        <v>0</v>
      </c>
      <c r="AC47" s="94">
        <v>0</v>
      </c>
      <c r="AD47" s="64">
        <v>0</v>
      </c>
      <c r="AE47" s="94">
        <v>0</v>
      </c>
      <c r="AF47" s="95">
        <v>24.98</v>
      </c>
      <c r="AG47" s="69">
        <v>4.6808098078293347E-05</v>
      </c>
    </row>
    <row r="48" spans="1:33" ht="14.5">
      <c r="A48" t="s">
        <v>11</v>
      </c>
      <c r="C48" s="31"/>
      <c r="D48" t="s">
        <v>211</v>
      </c>
      <c r="E48" t="s">
        <v>508</v>
      </c>
      <c r="F48" s="59" t="str">
        <f ca="1">E48</f>
        <v>Cosmetica Takapuna</v>
      </c>
      <c r="G48" s="31"/>
      <c r="H48" s="64">
        <v>0</v>
      </c>
      <c r="I48" s="94">
        <v>0</v>
      </c>
      <c r="J48" s="64">
        <v>0</v>
      </c>
      <c r="K48" s="94">
        <v>0</v>
      </c>
      <c r="L48" s="64">
        <v>0</v>
      </c>
      <c r="M48" s="94">
        <v>0</v>
      </c>
      <c r="N48" s="64">
        <v>-10.880000000000001</v>
      </c>
      <c r="O48" s="94">
        <v>0</v>
      </c>
      <c r="P48" s="64">
        <v>0</v>
      </c>
      <c r="Q48" s="94">
        <v>0</v>
      </c>
      <c r="R48" s="64">
        <v>0</v>
      </c>
      <c r="S48" s="94">
        <v>0</v>
      </c>
      <c r="T48" s="64">
        <v>13.880000000000001</v>
      </c>
      <c r="U48" s="94">
        <v>0</v>
      </c>
      <c r="V48" s="64">
        <v>0</v>
      </c>
      <c r="W48" s="94">
        <v>0</v>
      </c>
      <c r="X48" s="64">
        <v>0</v>
      </c>
      <c r="Y48" s="94">
        <v>0</v>
      </c>
      <c r="Z48" s="64">
        <v>0</v>
      </c>
      <c r="AA48" s="94">
        <v>0</v>
      </c>
      <c r="AB48" s="64">
        <v>0</v>
      </c>
      <c r="AC48" s="94">
        <v>0</v>
      </c>
      <c r="AD48" s="64">
        <v>0</v>
      </c>
      <c r="AE48" s="94">
        <v>0</v>
      </c>
      <c r="AF48" s="95">
        <v>3</v>
      </c>
      <c r="AG48" s="69">
        <v>5.6214689445508428E-06</v>
      </c>
    </row>
    <row r="49" spans="1:33" ht="14.5">
      <c r="A49">
        <v>1</v>
      </c>
      <c r="C49" s="31"/>
      <c r="D49" s="153" t="s">
        <v>261</v>
      </c>
      <c r="E49" s="100" t="s">
        <v>261</v>
      </c>
      <c r="F49" s="126" t="str">
        <f ca="1">E49</f>
        <v>Cosmetica Stores Brand</v>
      </c>
      <c r="G49" s="127"/>
      <c r="H49" s="101">
        <v>59</v>
      </c>
      <c r="I49" s="102">
        <v>1.4583333333333333</v>
      </c>
      <c r="J49" s="101">
        <v>91</v>
      </c>
      <c r="K49" s="102">
        <v>4.3529411764705879</v>
      </c>
      <c r="L49" s="101">
        <v>39</v>
      </c>
      <c r="M49" s="102">
        <v>-0.40000000000000002</v>
      </c>
      <c r="N49" s="101">
        <v>61.919999999999995</v>
      </c>
      <c r="O49" s="102">
        <v>-0.073053892215568905</v>
      </c>
      <c r="P49" s="101">
        <v>70</v>
      </c>
      <c r="Q49" s="102">
        <v>4.384615384615385</v>
      </c>
      <c r="R49" s="101">
        <v>117</v>
      </c>
      <c r="S49" s="102">
        <v>0.60714285714285721</v>
      </c>
      <c r="T49" s="101">
        <v>83.879999999999995</v>
      </c>
      <c r="U49" s="102">
        <v>0.24082840236686395</v>
      </c>
      <c r="V49" s="101">
        <v>67</v>
      </c>
      <c r="W49" s="102">
        <v>1.5769230769230769</v>
      </c>
      <c r="X49" s="101">
        <v>77.980000000000004</v>
      </c>
      <c r="Y49" s="102">
        <v>2.7133333333333334</v>
      </c>
      <c r="Z49" s="101">
        <v>42</v>
      </c>
      <c r="AA49" s="102">
        <v>-0.46153846153846156</v>
      </c>
      <c r="AB49" s="101">
        <v>0</v>
      </c>
      <c r="AC49" s="102">
        <v>0</v>
      </c>
      <c r="AD49" s="101">
        <v>67</v>
      </c>
      <c r="AE49" s="102">
        <v>5.7000000000000002</v>
      </c>
      <c r="AF49" s="101">
        <v>775.77999999999997</v>
      </c>
      <c r="AG49" s="102">
        <v>0.0014536743926012174</v>
      </c>
    </row>
    <row r="50" spans="1:33" ht="14.5">
      <c r="A50" t="s">
        <v>11</v>
      </c>
      <c r="C50" s="31"/>
      <c r="D50" t="s">
        <v>210</v>
      </c>
      <c r="E50" t="s">
        <v>509</v>
      </c>
      <c r="F50" s="59" t="str">
        <f ca="1">E50</f>
        <v>Maxima Melbourne Central</v>
      </c>
      <c r="G50" s="31"/>
      <c r="H50" s="64">
        <v>0</v>
      </c>
      <c r="I50" s="94">
        <v>-1</v>
      </c>
      <c r="J50" s="64">
        <v>0</v>
      </c>
      <c r="K50" s="94">
        <v>-1</v>
      </c>
      <c r="L50" s="64">
        <v>0</v>
      </c>
      <c r="M50" s="94">
        <v>-1</v>
      </c>
      <c r="N50" s="64">
        <v>0</v>
      </c>
      <c r="O50" s="94">
        <v>-1</v>
      </c>
      <c r="P50" s="64">
        <v>0</v>
      </c>
      <c r="Q50" s="94">
        <v>-1</v>
      </c>
      <c r="R50" s="64">
        <v>0</v>
      </c>
      <c r="S50" s="94">
        <v>-1</v>
      </c>
      <c r="T50" s="64">
        <v>0</v>
      </c>
      <c r="U50" s="94">
        <v>-1</v>
      </c>
      <c r="V50" s="64">
        <v>0</v>
      </c>
      <c r="W50" s="94">
        <v>-1</v>
      </c>
      <c r="X50" s="64">
        <v>0</v>
      </c>
      <c r="Y50" s="94">
        <v>0</v>
      </c>
      <c r="Z50" s="64">
        <v>0</v>
      </c>
      <c r="AA50" s="94">
        <v>0</v>
      </c>
      <c r="AB50" s="64">
        <v>0</v>
      </c>
      <c r="AC50" s="94">
        <v>0</v>
      </c>
      <c r="AD50" s="64">
        <v>0</v>
      </c>
      <c r="AE50" s="94">
        <v>0</v>
      </c>
      <c r="AF50" s="95">
        <v>0</v>
      </c>
      <c r="AG50" s="69">
        <v>0</v>
      </c>
    </row>
    <row r="51" spans="1:33" ht="14.5">
      <c r="A51" t="s">
        <v>11</v>
      </c>
      <c r="C51" s="31"/>
      <c r="D51" t="s">
        <v>209</v>
      </c>
      <c r="E51" t="s">
        <v>510</v>
      </c>
      <c r="F51" s="59" t="str">
        <f ca="1">E51</f>
        <v>Maxima Wintergarden</v>
      </c>
      <c r="G51" s="31"/>
      <c r="H51" s="64">
        <v>1121.2</v>
      </c>
      <c r="I51" s="94">
        <v>0.19530916844349686</v>
      </c>
      <c r="J51" s="64">
        <v>680</v>
      </c>
      <c r="K51" s="94">
        <v>0.33595284872298625</v>
      </c>
      <c r="L51" s="64">
        <v>1395.8</v>
      </c>
      <c r="M51" s="94">
        <v>0.067941851568477388</v>
      </c>
      <c r="N51" s="64">
        <v>1514.5999999999999</v>
      </c>
      <c r="O51" s="94">
        <v>1.0434430652995141</v>
      </c>
      <c r="P51" s="64">
        <v>1338.5999999999999</v>
      </c>
      <c r="Q51" s="94">
        <v>0.96448488406222443</v>
      </c>
      <c r="R51" s="64">
        <v>2057.4000000000001</v>
      </c>
      <c r="S51" s="94">
        <v>0.91814283050531442</v>
      </c>
      <c r="T51" s="64">
        <v>1722.5999999999999</v>
      </c>
      <c r="U51" s="94">
        <v>1.1136196319018403</v>
      </c>
      <c r="V51" s="64">
        <v>1586.8</v>
      </c>
      <c r="W51" s="94">
        <v>0.32653402441063356</v>
      </c>
      <c r="X51" s="64">
        <v>1711.4000000000001</v>
      </c>
      <c r="Y51" s="94">
        <v>0.111010127239678</v>
      </c>
      <c r="Z51" s="64">
        <v>993.79999999999995</v>
      </c>
      <c r="AA51" s="94">
        <v>-0.3621309370988447</v>
      </c>
      <c r="AB51" s="64">
        <v>1241.4000000000001</v>
      </c>
      <c r="AC51" s="94">
        <v>0.64729299363057335</v>
      </c>
      <c r="AD51" s="64">
        <v>2055.4000000000001</v>
      </c>
      <c r="AE51" s="94">
        <v>1.4067915690866513</v>
      </c>
      <c r="AF51" s="95">
        <v>17419</v>
      </c>
      <c r="AG51" s="69">
        <v>0.03264012251504371</v>
      </c>
    </row>
    <row r="52" spans="1:33" ht="14.5">
      <c r="A52" t="s">
        <v>11</v>
      </c>
      <c r="C52" s="31"/>
      <c r="D52" t="s">
        <v>208</v>
      </c>
      <c r="E52" t="s">
        <v>511</v>
      </c>
      <c r="F52" s="59" t="str">
        <f ca="1">E52</f>
        <v>Maxima Warringah</v>
      </c>
      <c r="G52" s="31"/>
      <c r="H52" s="64">
        <v>588.60000000000002</v>
      </c>
      <c r="I52" s="94">
        <v>1.0437500000000002</v>
      </c>
      <c r="J52" s="64">
        <v>566</v>
      </c>
      <c r="K52" s="94">
        <v>3.387596899224806</v>
      </c>
      <c r="L52" s="64">
        <v>640</v>
      </c>
      <c r="M52" s="94">
        <v>1.0189274447949528</v>
      </c>
      <c r="N52" s="64">
        <v>703</v>
      </c>
      <c r="O52" s="94">
        <v>3.8819444444444446</v>
      </c>
      <c r="P52" s="64">
        <v>430.60000000000002</v>
      </c>
      <c r="Q52" s="94">
        <v>1.6096969696969698</v>
      </c>
      <c r="R52" s="64">
        <v>448.60000000000002</v>
      </c>
      <c r="S52" s="94">
        <v>3.792735042735043</v>
      </c>
      <c r="T52" s="64">
        <v>244</v>
      </c>
      <c r="U52" s="94">
        <v>-0.42015209125475289</v>
      </c>
      <c r="V52" s="64">
        <v>210.80000000000001</v>
      </c>
      <c r="W52" s="94">
        <v>-0.56138160632542655</v>
      </c>
      <c r="X52" s="64">
        <v>292</v>
      </c>
      <c r="Y52" s="94">
        <v>-0.49022346368715081</v>
      </c>
      <c r="Z52" s="64">
        <v>326.39999999999998</v>
      </c>
      <c r="AA52" s="94">
        <v>-0.24965517241379315</v>
      </c>
      <c r="AB52" s="64">
        <v>119</v>
      </c>
      <c r="AC52" s="94">
        <v>-0.7132530120481928</v>
      </c>
      <c r="AD52" s="64">
        <v>636.5</v>
      </c>
      <c r="AE52" s="94">
        <v>-0.27090492554410078</v>
      </c>
      <c r="AF52" s="95">
        <v>5205.5</v>
      </c>
      <c r="AG52" s="69">
        <v>0.0097541855302864695</v>
      </c>
    </row>
    <row r="53" spans="1:33" ht="14.5">
      <c r="A53" t="s">
        <v>11</v>
      </c>
      <c r="C53" s="31"/>
      <c r="D53" t="s">
        <v>260</v>
      </c>
      <c r="E53" t="s">
        <v>512</v>
      </c>
      <c r="F53" s="59" t="str">
        <f ca="1">E53</f>
        <v>Maxima Chatswood</v>
      </c>
      <c r="G53" s="31"/>
      <c r="H53" s="64">
        <v>354.55000000000001</v>
      </c>
      <c r="I53" s="94">
        <v>0.76393034825870654</v>
      </c>
      <c r="J53" s="64">
        <v>310</v>
      </c>
      <c r="K53" s="94">
        <v>0.89950980392156876</v>
      </c>
      <c r="L53" s="64">
        <v>456.19999999999999</v>
      </c>
      <c r="M53" s="94">
        <v>0.30716332378223493</v>
      </c>
      <c r="N53" s="64">
        <v>215</v>
      </c>
      <c r="O53" s="94">
        <v>0.33044554455445552</v>
      </c>
      <c r="P53" s="64">
        <v>380</v>
      </c>
      <c r="Q53" s="94">
        <v>0.60608622147083691</v>
      </c>
      <c r="R53" s="64">
        <v>202.80000000000001</v>
      </c>
      <c r="S53" s="94">
        <v>0.054054054054054237</v>
      </c>
      <c r="T53" s="64">
        <v>97</v>
      </c>
      <c r="U53" s="94">
        <v>-0.66459197786998614</v>
      </c>
      <c r="V53" s="64">
        <v>0</v>
      </c>
      <c r="W53" s="94">
        <v>-1</v>
      </c>
      <c r="X53" s="64">
        <v>0</v>
      </c>
      <c r="Y53" s="94">
        <v>-1</v>
      </c>
      <c r="Z53" s="64">
        <v>0</v>
      </c>
      <c r="AA53" s="94">
        <v>-1</v>
      </c>
      <c r="AB53" s="64">
        <v>0</v>
      </c>
      <c r="AC53" s="94">
        <v>-1</v>
      </c>
      <c r="AD53" s="64">
        <v>0</v>
      </c>
      <c r="AE53" s="94">
        <v>-1</v>
      </c>
      <c r="AF53" s="95">
        <v>2015.55</v>
      </c>
      <c r="AG53" s="69">
        <v>0.0037767839103964836</v>
      </c>
    </row>
    <row r="54" spans="1:33" ht="14.5">
      <c r="A54" t="s">
        <v>11</v>
      </c>
      <c r="C54" s="31"/>
      <c r="D54" t="s">
        <v>259</v>
      </c>
      <c r="E54" t="s">
        <v>513</v>
      </c>
      <c r="F54" s="59" t="str">
        <f ca="1">E54</f>
        <v>Maxima Chermside</v>
      </c>
      <c r="G54" s="31"/>
      <c r="H54" s="64">
        <v>802.79999999999995</v>
      </c>
      <c r="I54" s="94">
        <v>0.22080291970802909</v>
      </c>
      <c r="J54" s="64">
        <v>1168</v>
      </c>
      <c r="K54" s="94">
        <v>0.82101652634861244</v>
      </c>
      <c r="L54" s="64">
        <v>913.39999999999998</v>
      </c>
      <c r="M54" s="94">
        <v>-0.46102555024488112</v>
      </c>
      <c r="N54" s="64">
        <v>945.79999999999995</v>
      </c>
      <c r="O54" s="94">
        <v>-0.19203827097215101</v>
      </c>
      <c r="P54" s="64">
        <v>336</v>
      </c>
      <c r="Q54" s="94">
        <v>-0.44481163251817585</v>
      </c>
      <c r="R54" s="64">
        <v>505.60000000000002</v>
      </c>
      <c r="S54" s="94">
        <v>-0.60530835284933648</v>
      </c>
      <c r="T54" s="64">
        <v>496.39999999999998</v>
      </c>
      <c r="U54" s="94">
        <v>-0.55247024882798412</v>
      </c>
      <c r="V54" s="64">
        <v>305</v>
      </c>
      <c r="W54" s="94">
        <v>-0.75423045930701049</v>
      </c>
      <c r="X54" s="64">
        <v>636</v>
      </c>
      <c r="Y54" s="94">
        <v>-0.62772184500117068</v>
      </c>
      <c r="Z54" s="64">
        <v>243</v>
      </c>
      <c r="AA54" s="94">
        <v>-0.81501218026796585</v>
      </c>
      <c r="AB54" s="64">
        <v>232</v>
      </c>
      <c r="AC54" s="94">
        <v>-0.73779385171790235</v>
      </c>
      <c r="AD54" s="64">
        <v>816</v>
      </c>
      <c r="AE54" s="94">
        <v>-0.5365216403498807</v>
      </c>
      <c r="AF54" s="95">
        <v>7400</v>
      </c>
      <c r="AG54" s="69">
        <v>0.013866290063225411</v>
      </c>
    </row>
    <row r="55" spans="1:33" ht="14.5">
      <c r="A55" t="s">
        <v>11</v>
      </c>
      <c r="C55" s="31"/>
      <c r="D55" t="s">
        <v>258</v>
      </c>
      <c r="E55" t="s">
        <v>514</v>
      </c>
      <c r="F55" s="59" t="str">
        <f ca="1">E55</f>
        <v>Maxima Macquarie Centre</v>
      </c>
      <c r="G55" s="31"/>
      <c r="H55" s="64">
        <v>209</v>
      </c>
      <c r="I55" s="94">
        <v>-0.16533546325878595</v>
      </c>
      <c r="J55" s="64">
        <v>246.59999999999999</v>
      </c>
      <c r="K55" s="94">
        <v>15.44</v>
      </c>
      <c r="L55" s="64">
        <v>250</v>
      </c>
      <c r="M55" s="94">
        <v>-0.2460796139927624</v>
      </c>
      <c r="N55" s="64">
        <v>236</v>
      </c>
      <c r="O55" s="94">
        <v>0.31991051454138691</v>
      </c>
      <c r="P55" s="64">
        <v>139</v>
      </c>
      <c r="Q55" s="94">
        <v>-0.03606102635228841</v>
      </c>
      <c r="R55" s="64">
        <v>246</v>
      </c>
      <c r="S55" s="94">
        <v>0.22388059701492538</v>
      </c>
      <c r="T55" s="64">
        <v>89.799999999999997</v>
      </c>
      <c r="U55" s="94">
        <v>-0.54646464646464643</v>
      </c>
      <c r="V55" s="64">
        <v>135</v>
      </c>
      <c r="W55" s="94">
        <v>-0.25</v>
      </c>
      <c r="X55" s="64">
        <v>44</v>
      </c>
      <c r="Y55" s="94">
        <v>-0.9066610097581671</v>
      </c>
      <c r="Z55" s="64">
        <v>0</v>
      </c>
      <c r="AA55" s="94">
        <v>-1</v>
      </c>
      <c r="AB55" s="64">
        <v>0</v>
      </c>
      <c r="AC55" s="94">
        <v>-1</v>
      </c>
      <c r="AD55" s="64">
        <v>49</v>
      </c>
      <c r="AE55" s="94">
        <v>-0.77625570776255703</v>
      </c>
      <c r="AF55" s="95">
        <v>1644.3999999999999</v>
      </c>
      <c r="AG55" s="69">
        <v>0.0030813145108064682</v>
      </c>
    </row>
    <row r="56" spans="1:33" ht="14.5">
      <c r="A56" t="s">
        <v>11</v>
      </c>
      <c r="C56" s="31"/>
      <c r="D56" t="s">
        <v>236</v>
      </c>
      <c r="E56" t="s">
        <v>515</v>
      </c>
      <c r="F56" s="59" t="str">
        <f ca="1">E56</f>
        <v>Maxima Bondi Junction</v>
      </c>
      <c r="G56" s="31"/>
      <c r="H56" s="64">
        <v>236</v>
      </c>
      <c r="I56" s="94">
        <v>0.36890951276102085</v>
      </c>
      <c r="J56" s="64">
        <v>392</v>
      </c>
      <c r="K56" s="94">
        <v>0.73835920177383596</v>
      </c>
      <c r="L56" s="64">
        <v>206</v>
      </c>
      <c r="M56" s="94">
        <v>-0.27719298245614032</v>
      </c>
      <c r="N56" s="64">
        <v>80</v>
      </c>
      <c r="O56" s="94">
        <v>-0.47368421052631576</v>
      </c>
      <c r="P56" s="64">
        <v>25.800000000000001</v>
      </c>
      <c r="Q56" s="94">
        <v>-0.8515535097813578</v>
      </c>
      <c r="R56" s="64">
        <v>202.80000000000001</v>
      </c>
      <c r="S56" s="94">
        <v>-0.14861460957178832</v>
      </c>
      <c r="T56" s="64">
        <v>313</v>
      </c>
      <c r="U56" s="94">
        <v>0.24900239425379092</v>
      </c>
      <c r="V56" s="64">
        <v>298</v>
      </c>
      <c r="W56" s="94">
        <v>-0.21743697478991586</v>
      </c>
      <c r="X56" s="64">
        <v>488.19999999999999</v>
      </c>
      <c r="Y56" s="94">
        <v>-0.26431585292344789</v>
      </c>
      <c r="Z56" s="64">
        <v>105</v>
      </c>
      <c r="AA56" s="94">
        <v>-0.83306836248012717</v>
      </c>
      <c r="AB56" s="64">
        <v>33</v>
      </c>
      <c r="AC56" s="94">
        <v>-0.86904761904761907</v>
      </c>
      <c r="AD56" s="64">
        <v>65</v>
      </c>
      <c r="AE56" s="94">
        <v>-0.29956896551724138</v>
      </c>
      <c r="AF56" s="95">
        <v>2444.7999999999997</v>
      </c>
      <c r="AG56" s="69">
        <v>0.0045811224252126324</v>
      </c>
    </row>
    <row r="57" spans="1:33" ht="14.5">
      <c r="A57" t="s">
        <v>11</v>
      </c>
      <c r="C57" s="31"/>
      <c r="D57" t="s">
        <v>207</v>
      </c>
      <c r="E57" t="s">
        <v>516</v>
      </c>
      <c r="F57" s="59" t="str">
        <f ca="1">E57</f>
        <v>Maxima Joondalup</v>
      </c>
      <c r="G57" s="31"/>
      <c r="H57" s="64">
        <v>1105.4000000000001</v>
      </c>
      <c r="I57" s="94">
        <v>1.4641105662059741</v>
      </c>
      <c r="J57" s="64">
        <v>931</v>
      </c>
      <c r="K57" s="94">
        <v>1.381074168797954</v>
      </c>
      <c r="L57" s="64">
        <v>901.15000000000009</v>
      </c>
      <c r="M57" s="94">
        <v>0.6970809792843693</v>
      </c>
      <c r="N57" s="64">
        <v>683.79999999999995</v>
      </c>
      <c r="O57" s="94">
        <v>0.19420188613342634</v>
      </c>
      <c r="P57" s="64">
        <v>549</v>
      </c>
      <c r="Q57" s="94">
        <v>1.7505010020040079</v>
      </c>
      <c r="R57" s="64">
        <v>898.20000000000005</v>
      </c>
      <c r="S57" s="94">
        <v>0.86116866970576045</v>
      </c>
      <c r="T57" s="64">
        <v>1185</v>
      </c>
      <c r="U57" s="94">
        <v>0.97565855285095049</v>
      </c>
      <c r="V57" s="64">
        <v>688.79999999999995</v>
      </c>
      <c r="W57" s="94">
        <v>0.30950570342205314</v>
      </c>
      <c r="X57" s="64">
        <v>662.60000000000002</v>
      </c>
      <c r="Y57" s="94">
        <v>-0.0051051051051050709</v>
      </c>
      <c r="Z57" s="64">
        <v>587</v>
      </c>
      <c r="AA57" s="94">
        <v>0.30866124177906584</v>
      </c>
      <c r="AB57" s="64">
        <v>595.75</v>
      </c>
      <c r="AC57" s="94">
        <v>-0.41844006247559551</v>
      </c>
      <c r="AD57" s="64">
        <v>1318.4000000000001</v>
      </c>
      <c r="AE57" s="94">
        <v>-0.050827933765298712</v>
      </c>
      <c r="AF57" s="95">
        <v>10106.1</v>
      </c>
      <c r="AG57" s="69">
        <v>0.018937042433508425</v>
      </c>
    </row>
    <row r="58" spans="1:33" ht="14.5">
      <c r="A58" t="s">
        <v>11</v>
      </c>
      <c r="C58" s="31"/>
      <c r="D58" t="s">
        <v>206</v>
      </c>
      <c r="E58" t="s">
        <v>517</v>
      </c>
      <c r="F58" s="59" t="str">
        <f ca="1">E58</f>
        <v>Maxima Burwood</v>
      </c>
      <c r="G58" s="31"/>
      <c r="H58" s="64">
        <v>0</v>
      </c>
      <c r="I58" s="94">
        <v>-1</v>
      </c>
      <c r="J58" s="64">
        <v>0</v>
      </c>
      <c r="K58" s="94">
        <v>-1</v>
      </c>
      <c r="L58" s="64">
        <v>0</v>
      </c>
      <c r="M58" s="94">
        <v>-1</v>
      </c>
      <c r="N58" s="64">
        <v>0</v>
      </c>
      <c r="O58" s="94">
        <v>-1</v>
      </c>
      <c r="P58" s="64">
        <v>0</v>
      </c>
      <c r="Q58" s="94">
        <v>-1</v>
      </c>
      <c r="R58" s="64">
        <v>0</v>
      </c>
      <c r="S58" s="94">
        <v>-1</v>
      </c>
      <c r="T58" s="64">
        <v>0</v>
      </c>
      <c r="U58" s="94">
        <v>0</v>
      </c>
      <c r="V58" s="64">
        <v>0</v>
      </c>
      <c r="W58" s="94">
        <v>0</v>
      </c>
      <c r="X58" s="64">
        <v>0</v>
      </c>
      <c r="Y58" s="94">
        <v>0</v>
      </c>
      <c r="Z58" s="64">
        <v>0</v>
      </c>
      <c r="AA58" s="94">
        <v>0</v>
      </c>
      <c r="AB58" s="64">
        <v>0</v>
      </c>
      <c r="AC58" s="94">
        <v>0</v>
      </c>
      <c r="AD58" s="64">
        <v>0</v>
      </c>
      <c r="AE58" s="94">
        <v>0</v>
      </c>
      <c r="AF58" s="95">
        <v>0</v>
      </c>
      <c r="AG58" s="69">
        <v>0</v>
      </c>
    </row>
    <row r="59" spans="1:33" ht="14.5">
      <c r="A59" t="s">
        <v>11</v>
      </c>
      <c r="C59" s="31"/>
      <c r="D59" t="s">
        <v>205</v>
      </c>
      <c r="E59" t="s">
        <v>518</v>
      </c>
      <c r="F59" s="59" t="str">
        <f ca="1">E59</f>
        <v>Maxima Miranda</v>
      </c>
      <c r="G59" s="31"/>
      <c r="H59" s="64">
        <v>707</v>
      </c>
      <c r="I59" s="94">
        <v>34.350000000000001</v>
      </c>
      <c r="J59" s="64">
        <v>517</v>
      </c>
      <c r="K59" s="94">
        <v>3.9238095238095236</v>
      </c>
      <c r="L59" s="64">
        <v>607</v>
      </c>
      <c r="M59" s="94">
        <v>1.6693051890941073</v>
      </c>
      <c r="N59" s="64">
        <v>564</v>
      </c>
      <c r="O59" s="94">
        <v>5.7142857142857144</v>
      </c>
      <c r="P59" s="64">
        <v>268</v>
      </c>
      <c r="Q59" s="94">
        <v>13.888888888888889</v>
      </c>
      <c r="R59" s="64">
        <v>559.20000000000005</v>
      </c>
      <c r="S59" s="94">
        <v>0.5725534308211474</v>
      </c>
      <c r="T59" s="64">
        <v>258.80000000000001</v>
      </c>
      <c r="U59" s="94">
        <v>-0.22561340514661887</v>
      </c>
      <c r="V59" s="64">
        <v>198</v>
      </c>
      <c r="W59" s="94">
        <v>-0.53058321479374115</v>
      </c>
      <c r="X59" s="64">
        <v>100</v>
      </c>
      <c r="Y59" s="94">
        <v>0.85185185185185186</v>
      </c>
      <c r="Z59" s="64">
        <v>0</v>
      </c>
      <c r="AA59" s="94">
        <v>-1</v>
      </c>
      <c r="AB59" s="64">
        <v>0</v>
      </c>
      <c r="AC59" s="94">
        <v>-1</v>
      </c>
      <c r="AD59" s="64">
        <v>62</v>
      </c>
      <c r="AE59" s="94">
        <v>-0.829950630828305</v>
      </c>
      <c r="AF59" s="95">
        <v>3841</v>
      </c>
      <c r="AG59" s="69">
        <v>0.0071973540720065956</v>
      </c>
    </row>
    <row r="60" spans="1:33" ht="14.5">
      <c r="A60" t="s">
        <v>11</v>
      </c>
      <c r="C60" s="31"/>
      <c r="D60" t="s">
        <v>204</v>
      </c>
      <c r="E60" t="s">
        <v>519</v>
      </c>
      <c r="F60" s="59" t="str">
        <f ca="1">E60</f>
        <v>Maxima Liverpool</v>
      </c>
      <c r="G60" s="31"/>
      <c r="H60" s="64">
        <v>265</v>
      </c>
      <c r="I60" s="94">
        <v>2.1176470588235294</v>
      </c>
      <c r="J60" s="64">
        <v>42</v>
      </c>
      <c r="K60" s="94">
        <v>-0.50588235294117645</v>
      </c>
      <c r="L60" s="64">
        <v>0</v>
      </c>
      <c r="M60" s="94">
        <v>-1</v>
      </c>
      <c r="N60" s="64">
        <v>0</v>
      </c>
      <c r="O60" s="94">
        <v>-1</v>
      </c>
      <c r="P60" s="64">
        <v>0</v>
      </c>
      <c r="Q60" s="94">
        <v>-1</v>
      </c>
      <c r="R60" s="64">
        <v>0</v>
      </c>
      <c r="S60" s="94">
        <v>-1</v>
      </c>
      <c r="T60" s="64">
        <v>0</v>
      </c>
      <c r="U60" s="94">
        <v>-1</v>
      </c>
      <c r="V60" s="64">
        <v>0</v>
      </c>
      <c r="W60" s="94">
        <v>-1</v>
      </c>
      <c r="X60" s="64">
        <v>0</v>
      </c>
      <c r="Y60" s="94">
        <v>-1</v>
      </c>
      <c r="Z60" s="64">
        <v>0</v>
      </c>
      <c r="AA60" s="94">
        <v>-1</v>
      </c>
      <c r="AB60" s="64">
        <v>0</v>
      </c>
      <c r="AC60" s="94">
        <v>-1</v>
      </c>
      <c r="AD60" s="64">
        <v>0</v>
      </c>
      <c r="AE60" s="94">
        <v>-1</v>
      </c>
      <c r="AF60" s="95">
        <v>307</v>
      </c>
      <c r="AG60" s="69">
        <v>0.00057526365532570289</v>
      </c>
    </row>
    <row r="61" spans="1:33" ht="14.5">
      <c r="A61" t="s">
        <v>11</v>
      </c>
      <c r="C61" s="31"/>
      <c r="D61" t="s">
        <v>257</v>
      </c>
      <c r="E61" t="s">
        <v>520</v>
      </c>
      <c r="F61" s="59" t="str">
        <f ca="1">E61</f>
        <v>Maxima Brisbane Airport</v>
      </c>
      <c r="G61" s="31"/>
      <c r="H61" s="64">
        <v>21</v>
      </c>
      <c r="I61" s="94">
        <v>-0.73750000000000004</v>
      </c>
      <c r="J61" s="64">
        <v>0</v>
      </c>
      <c r="K61" s="94">
        <v>-1</v>
      </c>
      <c r="L61" s="64">
        <v>0</v>
      </c>
      <c r="M61" s="94">
        <v>-1</v>
      </c>
      <c r="N61" s="64">
        <v>0</v>
      </c>
      <c r="O61" s="94">
        <v>-1</v>
      </c>
      <c r="P61" s="64">
        <v>0</v>
      </c>
      <c r="Q61" s="94">
        <v>-1</v>
      </c>
      <c r="R61" s="64">
        <v>60</v>
      </c>
      <c r="S61" s="94">
        <v>-0.3723849372384937</v>
      </c>
      <c r="T61" s="64">
        <v>0</v>
      </c>
      <c r="U61" s="94">
        <v>-1</v>
      </c>
      <c r="V61" s="64">
        <v>0</v>
      </c>
      <c r="W61" s="94">
        <v>-1</v>
      </c>
      <c r="X61" s="64">
        <v>0</v>
      </c>
      <c r="Y61" s="94">
        <v>-1</v>
      </c>
      <c r="Z61" s="64">
        <v>9</v>
      </c>
      <c r="AA61" s="94">
        <v>-0.87919463087248317</v>
      </c>
      <c r="AB61" s="64">
        <v>15</v>
      </c>
      <c r="AC61" s="94">
        <v>-0.72222222222222221</v>
      </c>
      <c r="AD61" s="64">
        <v>0</v>
      </c>
      <c r="AE61" s="94">
        <v>0</v>
      </c>
      <c r="AF61" s="95">
        <v>105</v>
      </c>
      <c r="AG61" s="69">
        <v>0.00019675141305927949</v>
      </c>
    </row>
    <row r="62" spans="1:33" ht="14.5">
      <c r="A62" t="s">
        <v>11</v>
      </c>
      <c r="C62" s="31"/>
      <c r="D62" t="s">
        <v>203</v>
      </c>
      <c r="E62" t="s">
        <v>521</v>
      </c>
      <c r="F62" s="59" t="str">
        <f ca="1">E62</f>
        <v>Maxima Pacific Fair</v>
      </c>
      <c r="G62" s="31"/>
      <c r="H62" s="64">
        <v>1681.8</v>
      </c>
      <c r="I62" s="94">
        <v>0.33455007141723525</v>
      </c>
      <c r="J62" s="64">
        <v>863.60000000000002</v>
      </c>
      <c r="K62" s="94">
        <v>0.33107274969173872</v>
      </c>
      <c r="L62" s="64">
        <v>1023.8</v>
      </c>
      <c r="M62" s="94">
        <v>0.079274720640944471</v>
      </c>
      <c r="N62" s="64">
        <v>1343.8</v>
      </c>
      <c r="O62" s="94">
        <v>0.16044905008635574</v>
      </c>
      <c r="P62" s="64">
        <v>939.79999999999995</v>
      </c>
      <c r="Q62" s="94">
        <v>0.63557257222415608</v>
      </c>
      <c r="R62" s="64">
        <v>1121.5999999999999</v>
      </c>
      <c r="S62" s="94">
        <v>0.33587422582181975</v>
      </c>
      <c r="T62" s="64">
        <v>1233.4000000000001</v>
      </c>
      <c r="U62" s="94">
        <v>0.54871923656454036</v>
      </c>
      <c r="V62" s="64">
        <v>1115</v>
      </c>
      <c r="W62" s="94">
        <v>0.18114406779661016</v>
      </c>
      <c r="X62" s="64">
        <v>857</v>
      </c>
      <c r="Y62" s="94">
        <v>-0.32742112698163556</v>
      </c>
      <c r="Z62" s="64">
        <v>339.80000000000001</v>
      </c>
      <c r="AA62" s="94">
        <v>-0.75934844192634565</v>
      </c>
      <c r="AB62" s="64">
        <v>613.39999999999998</v>
      </c>
      <c r="AC62" s="94">
        <v>-0.16810198684478192</v>
      </c>
      <c r="AD62" s="64">
        <v>1543.8</v>
      </c>
      <c r="AE62" s="94">
        <v>-0.27548338652149434</v>
      </c>
      <c r="AF62" s="95">
        <v>12676.799999999997</v>
      </c>
      <c r="AG62" s="69">
        <v>0.023754079172094034</v>
      </c>
    </row>
    <row r="63" spans="1:33" ht="14.5">
      <c r="A63" t="s">
        <v>11</v>
      </c>
      <c r="C63" s="31"/>
      <c r="D63" t="s">
        <v>256</v>
      </c>
      <c r="E63" t="s">
        <v>522</v>
      </c>
      <c r="F63" s="59" t="str">
        <f ca="1">E63</f>
        <v>Maxima Charlestown</v>
      </c>
      <c r="G63" s="31"/>
      <c r="H63" s="64">
        <v>260.39999999999998</v>
      </c>
      <c r="I63" s="94">
        <v>0.084999999999999909</v>
      </c>
      <c r="J63" s="64">
        <v>148</v>
      </c>
      <c r="K63" s="94">
        <v>-0.14450867052023122</v>
      </c>
      <c r="L63" s="64">
        <v>251</v>
      </c>
      <c r="M63" s="94">
        <v>0.15137614678899083</v>
      </c>
      <c r="N63" s="64">
        <v>42</v>
      </c>
      <c r="O63" s="94">
        <v>-0.65289256198347112</v>
      </c>
      <c r="P63" s="64">
        <v>0</v>
      </c>
      <c r="Q63" s="94">
        <v>-1</v>
      </c>
      <c r="R63" s="64">
        <v>0</v>
      </c>
      <c r="S63" s="94">
        <v>-1</v>
      </c>
      <c r="T63" s="64">
        <v>0</v>
      </c>
      <c r="U63" s="94">
        <v>-1</v>
      </c>
      <c r="V63" s="64">
        <v>0</v>
      </c>
      <c r="W63" s="94">
        <v>0</v>
      </c>
      <c r="X63" s="64">
        <v>0</v>
      </c>
      <c r="Y63" s="94">
        <v>-1</v>
      </c>
      <c r="Z63" s="64">
        <v>0</v>
      </c>
      <c r="AA63" s="94">
        <v>-1</v>
      </c>
      <c r="AB63" s="64">
        <v>0</v>
      </c>
      <c r="AC63" s="94">
        <v>-1</v>
      </c>
      <c r="AD63" s="64">
        <v>0</v>
      </c>
      <c r="AE63" s="94">
        <v>-1</v>
      </c>
      <c r="AF63" s="95">
        <v>701.39999999999998</v>
      </c>
      <c r="AG63" s="69">
        <v>0.0013142994392359869</v>
      </c>
    </row>
    <row r="64" spans="1:33" ht="14.5">
      <c r="A64" t="s">
        <v>11</v>
      </c>
      <c r="C64" s="31"/>
      <c r="D64" t="s">
        <v>235</v>
      </c>
      <c r="E64" t="s">
        <v>523</v>
      </c>
      <c r="F64" s="59" t="str">
        <f ca="1">E64</f>
        <v>Maxima Werribee POP</v>
      </c>
      <c r="G64" s="31"/>
      <c r="H64" s="64">
        <v>0</v>
      </c>
      <c r="I64" s="94">
        <v>-1</v>
      </c>
      <c r="J64" s="64">
        <v>0</v>
      </c>
      <c r="K64" s="94">
        <v>-1</v>
      </c>
      <c r="L64" s="64">
        <v>0</v>
      </c>
      <c r="M64" s="94">
        <v>-1</v>
      </c>
      <c r="N64" s="64">
        <v>0</v>
      </c>
      <c r="O64" s="94">
        <v>-1</v>
      </c>
      <c r="P64" s="64">
        <v>0</v>
      </c>
      <c r="Q64" s="94">
        <v>-1</v>
      </c>
      <c r="R64" s="64">
        <v>0</v>
      </c>
      <c r="S64" s="94">
        <v>-1</v>
      </c>
      <c r="T64" s="64">
        <v>0</v>
      </c>
      <c r="U64" s="94">
        <v>-1</v>
      </c>
      <c r="V64" s="64">
        <v>0</v>
      </c>
      <c r="W64" s="94">
        <v>-1</v>
      </c>
      <c r="X64" s="64">
        <v>0</v>
      </c>
      <c r="Y64" s="94">
        <v>-1</v>
      </c>
      <c r="Z64" s="64">
        <v>0</v>
      </c>
      <c r="AA64" s="94">
        <v>-1</v>
      </c>
      <c r="AB64" s="64">
        <v>0</v>
      </c>
      <c r="AC64" s="94">
        <v>-1</v>
      </c>
      <c r="AD64" s="64">
        <v>0</v>
      </c>
      <c r="AE64" s="94">
        <v>-1</v>
      </c>
      <c r="AF64" s="95">
        <v>0</v>
      </c>
      <c r="AG64" s="69">
        <v>0</v>
      </c>
    </row>
    <row r="65" spans="1:33" ht="14.5">
      <c r="A65" t="s">
        <v>11</v>
      </c>
      <c r="C65" s="31"/>
      <c r="D65" t="s">
        <v>232</v>
      </c>
      <c r="E65" t="s">
        <v>524</v>
      </c>
      <c r="F65" s="59" t="str">
        <f ca="1">E65</f>
        <v>Maxima Toowoomba POP</v>
      </c>
      <c r="G65" s="31"/>
      <c r="H65" s="64">
        <v>0</v>
      </c>
      <c r="I65" s="94">
        <v>-1</v>
      </c>
      <c r="J65" s="64">
        <v>0</v>
      </c>
      <c r="K65" s="94">
        <v>-1</v>
      </c>
      <c r="L65" s="64">
        <v>0</v>
      </c>
      <c r="M65" s="94">
        <v>-1</v>
      </c>
      <c r="N65" s="64">
        <v>0</v>
      </c>
      <c r="O65" s="94">
        <v>-1</v>
      </c>
      <c r="P65" s="64">
        <v>0</v>
      </c>
      <c r="Q65" s="94">
        <v>-1</v>
      </c>
      <c r="R65" s="64">
        <v>0</v>
      </c>
      <c r="S65" s="94">
        <v>-1</v>
      </c>
      <c r="T65" s="64">
        <v>0</v>
      </c>
      <c r="U65" s="94">
        <v>0</v>
      </c>
      <c r="V65" s="64">
        <v>0</v>
      </c>
      <c r="W65" s="94">
        <v>0</v>
      </c>
      <c r="X65" s="64">
        <v>0</v>
      </c>
      <c r="Y65" s="94">
        <v>0</v>
      </c>
      <c r="Z65" s="64">
        <v>0</v>
      </c>
      <c r="AA65" s="94">
        <v>0</v>
      </c>
      <c r="AB65" s="64">
        <v>0</v>
      </c>
      <c r="AC65" s="94">
        <v>0</v>
      </c>
      <c r="AD65" s="64">
        <v>0</v>
      </c>
      <c r="AE65" s="94">
        <v>0</v>
      </c>
      <c r="AF65" s="95">
        <v>0</v>
      </c>
      <c r="AG65" s="69">
        <v>0</v>
      </c>
    </row>
    <row r="66" spans="1:33" ht="14.5">
      <c r="A66" t="s">
        <v>11</v>
      </c>
      <c r="C66" s="31"/>
      <c r="D66" t="s">
        <v>255</v>
      </c>
      <c r="E66" t="s">
        <v>525</v>
      </c>
      <c r="F66" s="59" t="str">
        <f ca="1">E66</f>
        <v>Maxima Macarthur Square</v>
      </c>
      <c r="G66" s="31"/>
      <c r="H66" s="64">
        <v>632</v>
      </c>
      <c r="I66" s="94">
        <v>0.34639965913932685</v>
      </c>
      <c r="J66" s="64">
        <v>680</v>
      </c>
      <c r="K66" s="94">
        <v>1.0795107033639144</v>
      </c>
      <c r="L66" s="64">
        <v>566</v>
      </c>
      <c r="M66" s="94">
        <v>0.4572605561277035</v>
      </c>
      <c r="N66" s="64">
        <v>460.60000000000002</v>
      </c>
      <c r="O66" s="94">
        <v>0.10086042065009572</v>
      </c>
      <c r="P66" s="64">
        <v>370.60000000000002</v>
      </c>
      <c r="Q66" s="94">
        <v>0.13125763125763124</v>
      </c>
      <c r="R66" s="64">
        <v>336.80000000000001</v>
      </c>
      <c r="S66" s="94">
        <v>0.11449371277299809</v>
      </c>
      <c r="T66" s="64">
        <v>386.60000000000002</v>
      </c>
      <c r="U66" s="94">
        <v>-0.22174131857070956</v>
      </c>
      <c r="V66" s="64">
        <v>128</v>
      </c>
      <c r="W66" s="94">
        <v>-0.75930801053027452</v>
      </c>
      <c r="X66" s="64">
        <v>113</v>
      </c>
      <c r="Y66" s="94">
        <v>-0.79712746858168759</v>
      </c>
      <c r="Z66" s="64">
        <v>129</v>
      </c>
      <c r="AA66" s="94">
        <v>-0.77941176470588236</v>
      </c>
      <c r="AB66" s="64">
        <v>182</v>
      </c>
      <c r="AC66" s="94">
        <v>-0.72289890377588306</v>
      </c>
      <c r="AD66" s="64">
        <v>531</v>
      </c>
      <c r="AE66" s="94">
        <v>-0.57073565076798705</v>
      </c>
      <c r="AF66" s="95">
        <v>4515.6000000000004</v>
      </c>
      <c r="AG66" s="69">
        <v>0.0084614350553379285</v>
      </c>
    </row>
    <row r="67" spans="1:33" ht="14.5">
      <c r="A67" t="s">
        <v>11</v>
      </c>
      <c r="C67" s="31"/>
      <c r="D67" t="s">
        <v>202</v>
      </c>
      <c r="E67" t="s">
        <v>526</v>
      </c>
      <c r="F67" s="59" t="str">
        <f ca="1">E67</f>
        <v>Maxima Carindale</v>
      </c>
      <c r="G67" s="31"/>
      <c r="H67" s="64">
        <v>929.20000000000005</v>
      </c>
      <c r="I67" s="94">
        <v>0.86137820512820529</v>
      </c>
      <c r="J67" s="64">
        <v>657.79999999999995</v>
      </c>
      <c r="K67" s="94">
        <v>1.2682758620689654</v>
      </c>
      <c r="L67" s="64">
        <v>402.80000000000001</v>
      </c>
      <c r="M67" s="94">
        <v>0.095160413268080474</v>
      </c>
      <c r="N67" s="64">
        <v>516</v>
      </c>
      <c r="O67" s="94">
        <v>-0.046563192904656402</v>
      </c>
      <c r="P67" s="64">
        <v>400.80000000000001</v>
      </c>
      <c r="Q67" s="94">
        <v>2.3737373737373737</v>
      </c>
      <c r="R67" s="64">
        <v>593.60000000000002</v>
      </c>
      <c r="S67" s="94">
        <v>0.081632653061224622</v>
      </c>
      <c r="T67" s="64">
        <v>470.80000000000001</v>
      </c>
      <c r="U67" s="94">
        <v>0.65541490857946572</v>
      </c>
      <c r="V67" s="64">
        <v>398.39999999999998</v>
      </c>
      <c r="W67" s="94">
        <v>-0.42444380236925749</v>
      </c>
      <c r="X67" s="64">
        <v>713.39999999999998</v>
      </c>
      <c r="Y67" s="94">
        <v>-0.034902597402597491</v>
      </c>
      <c r="Z67" s="64">
        <v>424</v>
      </c>
      <c r="AA67" s="94">
        <v>-0.46240649169519465</v>
      </c>
      <c r="AB67" s="64">
        <v>549.79999999999995</v>
      </c>
      <c r="AC67" s="94">
        <v>-0.39582417582417589</v>
      </c>
      <c r="AD67" s="64">
        <v>1064.8</v>
      </c>
      <c r="AE67" s="94">
        <v>-0.20036046860919193</v>
      </c>
      <c r="AF67" s="95">
        <v>7121.4000000000005</v>
      </c>
      <c r="AG67" s="69">
        <v>0.013344242980574791</v>
      </c>
    </row>
    <row r="68" spans="1:33" ht="14.5">
      <c r="A68" t="s">
        <v>11</v>
      </c>
      <c r="C68" s="31"/>
      <c r="D68" t="s">
        <v>201</v>
      </c>
      <c r="E68" t="s">
        <v>527</v>
      </c>
      <c r="F68" s="59" t="str">
        <f ca="1">E68</f>
        <v>Maxima North Lakes</v>
      </c>
      <c r="G68" s="31"/>
      <c r="H68" s="64">
        <v>358.40000000000003</v>
      </c>
      <c r="I68" s="94">
        <v>0.38378378378378392</v>
      </c>
      <c r="J68" s="64">
        <v>200</v>
      </c>
      <c r="K68" s="94">
        <v>-0.16666666666666666</v>
      </c>
      <c r="L68" s="64">
        <v>216</v>
      </c>
      <c r="M68" s="94">
        <v>-0.21167883211678831</v>
      </c>
      <c r="N68" s="64">
        <v>196.59999999999999</v>
      </c>
      <c r="O68" s="94">
        <v>0.14435389988358546</v>
      </c>
      <c r="P68" s="64">
        <v>234</v>
      </c>
      <c r="Q68" s="94">
        <v>0.90243902439024393</v>
      </c>
      <c r="R68" s="64">
        <v>216.59999999999999</v>
      </c>
      <c r="S68" s="94">
        <v>-0.4979137691237831</v>
      </c>
      <c r="T68" s="64">
        <v>96</v>
      </c>
      <c r="U68" s="94">
        <v>-0.72492836676217765</v>
      </c>
      <c r="V68" s="64">
        <v>269</v>
      </c>
      <c r="W68" s="94">
        <v>-0.22028985507246376</v>
      </c>
      <c r="X68" s="64">
        <v>219</v>
      </c>
      <c r="Y68" s="94">
        <v>-0.55378973105134477</v>
      </c>
      <c r="Z68" s="64">
        <v>99</v>
      </c>
      <c r="AA68" s="94">
        <v>-0.83220338983050846</v>
      </c>
      <c r="AB68" s="64">
        <v>474</v>
      </c>
      <c r="AC68" s="94">
        <v>-0.42725954567423879</v>
      </c>
      <c r="AD68" s="64">
        <v>443</v>
      </c>
      <c r="AE68" s="94">
        <v>-0.72340159840159834</v>
      </c>
      <c r="AF68" s="95">
        <v>3021.5999999999999</v>
      </c>
      <c r="AG68" s="69">
        <v>0.0056619435209516083</v>
      </c>
    </row>
    <row r="69" spans="1:33" ht="14.5">
      <c r="A69" t="s">
        <v>11</v>
      </c>
      <c r="C69" s="31"/>
      <c r="D69" t="s">
        <v>200</v>
      </c>
      <c r="E69" t="s">
        <v>528</v>
      </c>
      <c r="F69" s="59" t="str">
        <f ca="1">E69</f>
        <v>Maxima Canberra</v>
      </c>
      <c r="G69" s="31"/>
      <c r="H69" s="64">
        <v>158.59999999999999</v>
      </c>
      <c r="I69" s="94">
        <v>-0.47133333333333333</v>
      </c>
      <c r="J69" s="64">
        <v>215.80000000000001</v>
      </c>
      <c r="K69" s="94">
        <v>-0.41517615176151756</v>
      </c>
      <c r="L69" s="64">
        <v>426</v>
      </c>
      <c r="M69" s="94">
        <v>-0.56610307598288856</v>
      </c>
      <c r="N69" s="64">
        <v>600.79999999999995</v>
      </c>
      <c r="O69" s="94">
        <v>-0.12470862470862489</v>
      </c>
      <c r="P69" s="64">
        <v>561</v>
      </c>
      <c r="Q69" s="94">
        <v>-0.0206005586592178</v>
      </c>
      <c r="R69" s="64">
        <v>664</v>
      </c>
      <c r="S69" s="94">
        <v>-0.038795599305153382</v>
      </c>
      <c r="T69" s="64">
        <v>736.79999999999995</v>
      </c>
      <c r="U69" s="94">
        <v>0.57167235494880531</v>
      </c>
      <c r="V69" s="64">
        <v>408.60000000000002</v>
      </c>
      <c r="W69" s="94">
        <v>-0.29405666897028326</v>
      </c>
      <c r="X69" s="64">
        <v>298</v>
      </c>
      <c r="Y69" s="94">
        <v>-0.6842551388005933</v>
      </c>
      <c r="Z69" s="64">
        <v>0</v>
      </c>
      <c r="AA69" s="94">
        <v>-1</v>
      </c>
      <c r="AB69" s="64">
        <v>0</v>
      </c>
      <c r="AC69" s="94">
        <v>-1</v>
      </c>
      <c r="AD69" s="64">
        <v>0</v>
      </c>
      <c r="AE69" s="94">
        <v>-1</v>
      </c>
      <c r="AF69" s="95">
        <v>4069.5999999999999</v>
      </c>
      <c r="AG69" s="69">
        <v>0.0076257100055813695</v>
      </c>
    </row>
    <row r="70" spans="1:33" ht="14.5">
      <c r="A70" t="s">
        <v>11</v>
      </c>
      <c r="C70" s="31"/>
      <c r="D70" t="s">
        <v>199</v>
      </c>
      <c r="E70" t="s">
        <v>529</v>
      </c>
      <c r="F70" s="59" t="str">
        <f ca="1">E70</f>
        <v>Maxima Wollongong</v>
      </c>
      <c r="G70" s="31"/>
      <c r="H70" s="64">
        <v>382.80000000000001</v>
      </c>
      <c r="I70" s="94">
        <v>0.070469798657718088</v>
      </c>
      <c r="J70" s="64">
        <v>658.60000000000002</v>
      </c>
      <c r="K70" s="94">
        <v>1.9141592920353983</v>
      </c>
      <c r="L70" s="64">
        <v>654.79999999999995</v>
      </c>
      <c r="M70" s="94">
        <v>49.369230769230768</v>
      </c>
      <c r="N70" s="64">
        <v>406</v>
      </c>
      <c r="O70" s="94">
        <v>9.463917525773196</v>
      </c>
      <c r="P70" s="64">
        <v>500.20000000000005</v>
      </c>
      <c r="Q70" s="94">
        <v>4.3440170940170946</v>
      </c>
      <c r="R70" s="64">
        <v>543.79999999999995</v>
      </c>
      <c r="S70" s="94">
        <v>4.2490347490347489</v>
      </c>
      <c r="T70" s="64">
        <v>499.19999999999999</v>
      </c>
      <c r="U70" s="94">
        <v>4.7511520737327189</v>
      </c>
      <c r="V70" s="64">
        <v>534.79999999999995</v>
      </c>
      <c r="W70" s="94">
        <v>8.2206896551724125</v>
      </c>
      <c r="X70" s="64">
        <v>484.39999999999998</v>
      </c>
      <c r="Y70" s="94">
        <v>6.4067278287461766</v>
      </c>
      <c r="Z70" s="64">
        <v>432.39999999999998</v>
      </c>
      <c r="AA70" s="94">
        <v>3.1576923076923076</v>
      </c>
      <c r="AB70" s="64">
        <v>343</v>
      </c>
      <c r="AC70" s="94">
        <v>1.162673392181589</v>
      </c>
      <c r="AD70" s="64">
        <v>715.79999999999995</v>
      </c>
      <c r="AE70" s="94">
        <v>1.8654923939151318</v>
      </c>
      <c r="AF70" s="95">
        <v>6155.7999999999993</v>
      </c>
      <c r="AG70" s="69">
        <v>0.011534879509622025</v>
      </c>
    </row>
    <row r="71" spans="1:33" ht="14.5">
      <c r="A71" t="s">
        <v>11</v>
      </c>
      <c r="C71" s="31"/>
      <c r="D71" t="s">
        <v>198</v>
      </c>
      <c r="E71" t="s">
        <v>530</v>
      </c>
      <c r="F71" s="59" t="str">
        <f ca="1">E71</f>
        <v>Maxima Marion POP</v>
      </c>
      <c r="G71" s="31"/>
      <c r="H71" s="64">
        <v>0</v>
      </c>
      <c r="I71" s="94">
        <v>-1</v>
      </c>
      <c r="J71" s="64">
        <v>0</v>
      </c>
      <c r="K71" s="94">
        <v>-1</v>
      </c>
      <c r="L71" s="64">
        <v>0</v>
      </c>
      <c r="M71" s="94">
        <v>-1</v>
      </c>
      <c r="N71" s="64">
        <v>0</v>
      </c>
      <c r="O71" s="94">
        <v>-1</v>
      </c>
      <c r="P71" s="64">
        <v>0</v>
      </c>
      <c r="Q71" s="94">
        <v>-1</v>
      </c>
      <c r="R71" s="64">
        <v>0</v>
      </c>
      <c r="S71" s="94">
        <v>-1</v>
      </c>
      <c r="T71" s="64">
        <v>0</v>
      </c>
      <c r="U71" s="94">
        <v>-1</v>
      </c>
      <c r="V71" s="64">
        <v>0</v>
      </c>
      <c r="W71" s="94">
        <v>-1</v>
      </c>
      <c r="X71" s="64">
        <v>0</v>
      </c>
      <c r="Y71" s="94">
        <v>-1</v>
      </c>
      <c r="Z71" s="64">
        <v>0</v>
      </c>
      <c r="AA71" s="94">
        <v>-1</v>
      </c>
      <c r="AB71" s="64">
        <v>0</v>
      </c>
      <c r="AC71" s="94">
        <v>0</v>
      </c>
      <c r="AD71" s="64">
        <v>0</v>
      </c>
      <c r="AE71" s="94">
        <v>0</v>
      </c>
      <c r="AF71" s="95">
        <v>0</v>
      </c>
      <c r="AG71" s="69">
        <v>0</v>
      </c>
    </row>
    <row r="72" spans="1:33" ht="14.5">
      <c r="A72" t="s">
        <v>11</v>
      </c>
      <c r="C72" s="31"/>
      <c r="D72" t="s">
        <v>197</v>
      </c>
      <c r="E72" t="s">
        <v>531</v>
      </c>
      <c r="F72" s="59" t="str">
        <f ca="1">E72</f>
        <v>Maxima Penrith</v>
      </c>
      <c r="G72" s="31"/>
      <c r="H72" s="64">
        <v>651.20000000000005</v>
      </c>
      <c r="I72" s="94">
        <v>0.7402458578300376</v>
      </c>
      <c r="J72" s="64">
        <v>298</v>
      </c>
      <c r="K72" s="94">
        <v>0.46798029556650245</v>
      </c>
      <c r="L72" s="64">
        <v>41</v>
      </c>
      <c r="M72" s="94">
        <v>-0.93611717045808662</v>
      </c>
      <c r="N72" s="64">
        <v>0</v>
      </c>
      <c r="O72" s="94">
        <v>-1</v>
      </c>
      <c r="P72" s="64">
        <v>0</v>
      </c>
      <c r="Q72" s="94">
        <v>-1</v>
      </c>
      <c r="R72" s="64">
        <v>0</v>
      </c>
      <c r="S72" s="94">
        <v>-1</v>
      </c>
      <c r="T72" s="64">
        <v>0</v>
      </c>
      <c r="U72" s="94">
        <v>-1</v>
      </c>
      <c r="V72" s="64">
        <v>0</v>
      </c>
      <c r="W72" s="94">
        <v>-1</v>
      </c>
      <c r="X72" s="64">
        <v>0</v>
      </c>
      <c r="Y72" s="94">
        <v>-1</v>
      </c>
      <c r="Z72" s="64">
        <v>0</v>
      </c>
      <c r="AA72" s="94">
        <v>-1</v>
      </c>
      <c r="AB72" s="64">
        <v>0</v>
      </c>
      <c r="AC72" s="94">
        <v>-1</v>
      </c>
      <c r="AD72" s="64">
        <v>0</v>
      </c>
      <c r="AE72" s="94">
        <v>-1</v>
      </c>
      <c r="AF72" s="95">
        <v>990.20000000000005</v>
      </c>
      <c r="AG72" s="69">
        <v>0.0018554595162980816</v>
      </c>
    </row>
    <row r="73" spans="1:33" ht="14.5">
      <c r="A73" t="s">
        <v>11</v>
      </c>
      <c r="C73" s="31"/>
      <c r="D73" t="s">
        <v>196</v>
      </c>
      <c r="E73" t="s">
        <v>532</v>
      </c>
      <c r="F73" s="59" t="str">
        <f ca="1">E73</f>
        <v>Maxima Mandurah</v>
      </c>
      <c r="G73" s="31"/>
      <c r="H73" s="64">
        <v>865</v>
      </c>
      <c r="I73" s="94">
        <v>0.46859083191850592</v>
      </c>
      <c r="J73" s="64">
        <v>778.39999999999998</v>
      </c>
      <c r="K73" s="94">
        <v>1.2588508415554263</v>
      </c>
      <c r="L73" s="64">
        <v>836.39999999999998</v>
      </c>
      <c r="M73" s="94">
        <v>-0.10083852934852716</v>
      </c>
      <c r="N73" s="64">
        <v>561.79999999999995</v>
      </c>
      <c r="O73" s="94">
        <v>-0.51342456261908886</v>
      </c>
      <c r="P73" s="64">
        <v>469</v>
      </c>
      <c r="Q73" s="94">
        <v>0.46197007481296753</v>
      </c>
      <c r="R73" s="64">
        <v>874.59999999999991</v>
      </c>
      <c r="S73" s="94">
        <v>7.9244897959183662</v>
      </c>
      <c r="T73" s="64">
        <v>770</v>
      </c>
      <c r="U73" s="94">
        <v>2.2083333333333335</v>
      </c>
      <c r="V73" s="64">
        <v>612.59999999999991</v>
      </c>
      <c r="W73" s="94">
        <v>-0.072941888619854955</v>
      </c>
      <c r="X73" s="64">
        <v>564.60000000000002</v>
      </c>
      <c r="Y73" s="94">
        <v>-0.24679829242262538</v>
      </c>
      <c r="Z73" s="64">
        <v>364</v>
      </c>
      <c r="AA73" s="94">
        <v>-0.44291398836853391</v>
      </c>
      <c r="AB73" s="64">
        <v>512</v>
      </c>
      <c r="AC73" s="94">
        <v>-0.0073671965878246504</v>
      </c>
      <c r="AD73" s="64">
        <v>1018</v>
      </c>
      <c r="AE73" s="94">
        <v>-0.28309859154929579</v>
      </c>
      <c r="AF73" s="95">
        <v>8226.4000000000015</v>
      </c>
      <c r="AG73" s="69">
        <v>0.01541481737515102</v>
      </c>
    </row>
    <row r="74" spans="1:33" ht="14.5">
      <c r="A74" t="s">
        <v>11</v>
      </c>
      <c r="C74" s="31"/>
      <c r="D74" t="s">
        <v>195</v>
      </c>
      <c r="E74" t="s">
        <v>533</v>
      </c>
      <c r="F74" s="59" t="str">
        <f ca="1">E74</f>
        <v>Maxima Hobart</v>
      </c>
      <c r="G74" s="31"/>
      <c r="H74" s="64">
        <v>668</v>
      </c>
      <c r="I74" s="94">
        <v>1.5791505791505791</v>
      </c>
      <c r="J74" s="64">
        <v>578.79999999999995</v>
      </c>
      <c r="K74" s="94">
        <v>2.6632911392405059</v>
      </c>
      <c r="L74" s="64">
        <v>435.80000000000001</v>
      </c>
      <c r="M74" s="94">
        <v>0.71036106750392458</v>
      </c>
      <c r="N74" s="64">
        <v>771</v>
      </c>
      <c r="O74" s="94">
        <v>1.9814385150812062</v>
      </c>
      <c r="P74" s="64">
        <v>428.80000000000001</v>
      </c>
      <c r="Q74" s="94">
        <v>5.1257142857142854</v>
      </c>
      <c r="R74" s="64">
        <v>549.79999999999995</v>
      </c>
      <c r="S74" s="94">
        <v>0.29731005191127874</v>
      </c>
      <c r="T74" s="64">
        <v>643.60000000000002</v>
      </c>
      <c r="U74" s="94">
        <v>0.119304347826087</v>
      </c>
      <c r="V74" s="64">
        <v>588.60000000000002</v>
      </c>
      <c r="W74" s="94">
        <v>0.19536961819658824</v>
      </c>
      <c r="X74" s="64">
        <v>458.39999999999998</v>
      </c>
      <c r="Y74" s="94">
        <v>-0.070842201276983971</v>
      </c>
      <c r="Z74" s="64">
        <v>380</v>
      </c>
      <c r="AA74" s="94">
        <v>-0.47615108905431491</v>
      </c>
      <c r="AB74" s="64">
        <v>275</v>
      </c>
      <c r="AC74" s="94">
        <v>-0.028268551236749116</v>
      </c>
      <c r="AD74" s="64">
        <v>1021</v>
      </c>
      <c r="AE74" s="94">
        <v>0.50368188512518408</v>
      </c>
      <c r="AF74" s="95">
        <v>6798.7999999999993</v>
      </c>
      <c r="AG74" s="69">
        <v>0.012739747686737421</v>
      </c>
    </row>
    <row r="75" spans="1:33" ht="14.5">
      <c r="A75" t="s">
        <v>11</v>
      </c>
      <c r="C75" s="31"/>
      <c r="D75" t="s">
        <v>194</v>
      </c>
      <c r="E75" t="s">
        <v>534</v>
      </c>
      <c r="F75" s="59" t="str">
        <f ca="1">E75</f>
        <v>Maxima Erina Fair</v>
      </c>
      <c r="G75" s="31"/>
      <c r="H75" s="64">
        <v>687.79999999999995</v>
      </c>
      <c r="I75" s="94">
        <v>0.36360031720856462</v>
      </c>
      <c r="J75" s="64">
        <v>631.20000000000005</v>
      </c>
      <c r="K75" s="94">
        <v>0.47407753386268114</v>
      </c>
      <c r="L75" s="64">
        <v>848.60000000000002</v>
      </c>
      <c r="M75" s="94">
        <v>1.841929002009377</v>
      </c>
      <c r="N75" s="64">
        <v>754.79999999999995</v>
      </c>
      <c r="O75" s="94">
        <v>1.9833992094861659</v>
      </c>
      <c r="P75" s="64">
        <v>775</v>
      </c>
      <c r="Q75" s="94">
        <v>1.254217568353694</v>
      </c>
      <c r="R75" s="64">
        <v>807.79999999999995</v>
      </c>
      <c r="S75" s="94">
        <v>1.199891067538126</v>
      </c>
      <c r="T75" s="64">
        <v>646</v>
      </c>
      <c r="U75" s="94">
        <v>0.11417730251810979</v>
      </c>
      <c r="V75" s="64">
        <v>560.75</v>
      </c>
      <c r="W75" s="94">
        <v>0.71483180428134552</v>
      </c>
      <c r="X75" s="64">
        <v>652.20000000000005</v>
      </c>
      <c r="Y75" s="94">
        <v>0.11487179487179495</v>
      </c>
      <c r="Z75" s="64">
        <v>344</v>
      </c>
      <c r="AA75" s="94">
        <v>-0.35820895522388058</v>
      </c>
      <c r="AB75" s="64">
        <v>211.80000000000001</v>
      </c>
      <c r="AC75" s="94">
        <v>-0.3620481927710843</v>
      </c>
      <c r="AD75" s="64">
        <v>1154</v>
      </c>
      <c r="AE75" s="94">
        <v>0.31584948688711517</v>
      </c>
      <c r="AF75" s="95">
        <v>8073.9499999999998</v>
      </c>
      <c r="AG75" s="69">
        <v>0.015129153061618758</v>
      </c>
    </row>
    <row r="76" spans="1:33" ht="14.5">
      <c r="A76" t="s">
        <v>11</v>
      </c>
      <c r="C76" s="31"/>
      <c r="D76" t="s">
        <v>193</v>
      </c>
      <c r="E76" t="s">
        <v>535</v>
      </c>
      <c r="F76" s="59" t="str">
        <f ca="1">E76</f>
        <v>Maxima Burnside</v>
      </c>
      <c r="G76" s="31"/>
      <c r="H76" s="64">
        <v>573</v>
      </c>
      <c r="I76" s="94">
        <v>-0.031767489016559576</v>
      </c>
      <c r="J76" s="64">
        <v>410</v>
      </c>
      <c r="K76" s="94">
        <v>-0.27433628318584069</v>
      </c>
      <c r="L76" s="64">
        <v>298</v>
      </c>
      <c r="M76" s="94">
        <v>-0.517643250242797</v>
      </c>
      <c r="N76" s="64">
        <v>361</v>
      </c>
      <c r="O76" s="94">
        <v>-0.43996276760781883</v>
      </c>
      <c r="P76" s="64">
        <v>172</v>
      </c>
      <c r="Q76" s="94">
        <v>-0.12690355329949238</v>
      </c>
      <c r="R76" s="64">
        <v>0</v>
      </c>
      <c r="S76" s="94">
        <v>-1</v>
      </c>
      <c r="T76" s="64">
        <v>0</v>
      </c>
      <c r="U76" s="94">
        <v>-1</v>
      </c>
      <c r="V76" s="64">
        <v>0</v>
      </c>
      <c r="W76" s="94">
        <v>-1</v>
      </c>
      <c r="X76" s="64">
        <v>0</v>
      </c>
      <c r="Y76" s="94">
        <v>-1</v>
      </c>
      <c r="Z76" s="64">
        <v>0</v>
      </c>
      <c r="AA76" s="94">
        <v>-1</v>
      </c>
      <c r="AB76" s="64">
        <v>0</v>
      </c>
      <c r="AC76" s="94">
        <v>-1</v>
      </c>
      <c r="AD76" s="64">
        <v>0</v>
      </c>
      <c r="AE76" s="94">
        <v>-1</v>
      </c>
      <c r="AF76" s="95">
        <v>1814</v>
      </c>
      <c r="AG76" s="69">
        <v>0.0033991148884717427</v>
      </c>
    </row>
    <row r="77" spans="1:33" ht="14.5">
      <c r="A77" t="s">
        <v>11</v>
      </c>
      <c r="C77" s="31"/>
      <c r="D77" t="s">
        <v>192</v>
      </c>
      <c r="E77" t="s">
        <v>536</v>
      </c>
      <c r="F77" s="59" t="str">
        <f ca="1">E77</f>
        <v>Maxima Indooroopilly</v>
      </c>
      <c r="G77" s="31"/>
      <c r="H77" s="64">
        <v>674.60000000000002</v>
      </c>
      <c r="I77" s="94">
        <v>5.9546391752577321</v>
      </c>
      <c r="J77" s="64">
        <v>527.39999999999998</v>
      </c>
      <c r="K77" s="94">
        <v>13.649999999999999</v>
      </c>
      <c r="L77" s="64">
        <v>473.80000000000001</v>
      </c>
      <c r="M77" s="94">
        <v>1.8202380952380952</v>
      </c>
      <c r="N77" s="64">
        <v>464.80000000000001</v>
      </c>
      <c r="O77" s="94">
        <v>18.366666666666667</v>
      </c>
      <c r="P77" s="64">
        <v>374</v>
      </c>
      <c r="Q77" s="94">
        <v>14.583333333333334</v>
      </c>
      <c r="R77" s="64">
        <v>385</v>
      </c>
      <c r="S77" s="94">
        <v>0.018518518518518517</v>
      </c>
      <c r="T77" s="64">
        <v>532.79999999999995</v>
      </c>
      <c r="U77" s="94">
        <v>1.4485294117647054</v>
      </c>
      <c r="V77" s="64">
        <v>312</v>
      </c>
      <c r="W77" s="94">
        <v>-0.32932072226999148</v>
      </c>
      <c r="X77" s="64">
        <v>287</v>
      </c>
      <c r="Y77" s="94">
        <v>-0.41784989858012173</v>
      </c>
      <c r="Z77" s="64">
        <v>345.39999999999998</v>
      </c>
      <c r="AA77" s="94">
        <v>0.57716894977168942</v>
      </c>
      <c r="AB77" s="64">
        <v>31</v>
      </c>
      <c r="AC77" s="94">
        <v>-0.83133841131664854</v>
      </c>
      <c r="AD77" s="64">
        <v>559.39999999999998</v>
      </c>
      <c r="AE77" s="94">
        <v>0.28656853725850956</v>
      </c>
      <c r="AF77" s="95">
        <v>4967.1999999999989</v>
      </c>
      <c r="AG77" s="69">
        <v>0.0093076535137909793</v>
      </c>
    </row>
    <row r="78" spans="1:33" ht="14.5">
      <c r="A78" t="s">
        <v>11</v>
      </c>
      <c r="C78" s="31"/>
      <c r="D78" t="s">
        <v>254</v>
      </c>
      <c r="E78" t="s">
        <v>537</v>
      </c>
      <c r="F78" s="59" t="str">
        <f ca="1">E78</f>
        <v>Maxima Carousel POP</v>
      </c>
      <c r="G78" s="31"/>
      <c r="H78" s="64">
        <v>0</v>
      </c>
      <c r="I78" s="94">
        <v>-1</v>
      </c>
      <c r="J78" s="64">
        <v>0</v>
      </c>
      <c r="K78" s="94">
        <v>-1</v>
      </c>
      <c r="L78" s="64">
        <v>0</v>
      </c>
      <c r="M78" s="94">
        <v>-1</v>
      </c>
      <c r="N78" s="64">
        <v>0</v>
      </c>
      <c r="O78" s="94">
        <v>-1</v>
      </c>
      <c r="P78" s="64">
        <v>0</v>
      </c>
      <c r="Q78" s="94">
        <v>-1</v>
      </c>
      <c r="R78" s="64">
        <v>0</v>
      </c>
      <c r="S78" s="94">
        <v>-1</v>
      </c>
      <c r="T78" s="64">
        <v>0</v>
      </c>
      <c r="U78" s="94">
        <v>0</v>
      </c>
      <c r="V78" s="64">
        <v>0</v>
      </c>
      <c r="W78" s="94">
        <v>0</v>
      </c>
      <c r="X78" s="64">
        <v>0</v>
      </c>
      <c r="Y78" s="94">
        <v>0</v>
      </c>
      <c r="Z78" s="64">
        <v>0</v>
      </c>
      <c r="AA78" s="94">
        <v>0</v>
      </c>
      <c r="AB78" s="64">
        <v>0</v>
      </c>
      <c r="AC78" s="94">
        <v>0</v>
      </c>
      <c r="AD78" s="64">
        <v>0</v>
      </c>
      <c r="AE78" s="94">
        <v>0</v>
      </c>
      <c r="AF78" s="95">
        <v>0</v>
      </c>
      <c r="AG78" s="69">
        <v>0</v>
      </c>
    </row>
    <row r="79" spans="1:33" ht="14.5">
      <c r="A79" t="s">
        <v>11</v>
      </c>
      <c r="C79" s="31"/>
      <c r="D79" t="s">
        <v>253</v>
      </c>
      <c r="E79" t="s">
        <v>538</v>
      </c>
      <c r="F79" s="59" t="str">
        <f ca="1">E79</f>
        <v>Maxima Coomera</v>
      </c>
      <c r="G79" s="31"/>
      <c r="H79" s="64">
        <v>349.39999999999998</v>
      </c>
      <c r="I79" s="94">
        <v>7.7349999999999994</v>
      </c>
      <c r="J79" s="64">
        <v>314</v>
      </c>
      <c r="K79" s="94">
        <v>1.8807339449541285</v>
      </c>
      <c r="L79" s="64">
        <v>446.39999999999998</v>
      </c>
      <c r="M79" s="94">
        <v>2.0162162162162161</v>
      </c>
      <c r="N79" s="64">
        <v>390</v>
      </c>
      <c r="O79" s="94">
        <v>0.37809187279151946</v>
      </c>
      <c r="P79" s="64">
        <v>306.60000000000002</v>
      </c>
      <c r="Q79" s="94">
        <v>1.117403314917127</v>
      </c>
      <c r="R79" s="64">
        <v>543.60000000000002</v>
      </c>
      <c r="S79" s="94">
        <v>0.66953316953316944</v>
      </c>
      <c r="T79" s="64">
        <v>557.60000000000002</v>
      </c>
      <c r="U79" s="94">
        <v>0.2949372967951695</v>
      </c>
      <c r="V79" s="64">
        <v>565</v>
      </c>
      <c r="W79" s="94">
        <v>0.70386007237635695</v>
      </c>
      <c r="X79" s="64">
        <v>527.79999999999995</v>
      </c>
      <c r="Y79" s="94">
        <v>-0.1215046604527297</v>
      </c>
      <c r="Z79" s="64">
        <v>499.19999999999999</v>
      </c>
      <c r="AA79" s="94">
        <v>0.38666666666666666</v>
      </c>
      <c r="AB79" s="64">
        <v>318.39999999999998</v>
      </c>
      <c r="AC79" s="94">
        <v>1.7929824561403507</v>
      </c>
      <c r="AD79" s="64">
        <v>921.60000000000002</v>
      </c>
      <c r="AE79" s="94">
        <v>-0.061507128309572279</v>
      </c>
      <c r="AF79" s="95">
        <v>5739.5999999999995</v>
      </c>
      <c r="AG79" s="69">
        <v>0.01075499438471467</v>
      </c>
    </row>
    <row r="80" spans="1:33" ht="14.5">
      <c r="A80" t="s">
        <v>11</v>
      </c>
      <c r="C80" s="31"/>
      <c r="D80" t="s">
        <v>252</v>
      </c>
      <c r="E80" t="s">
        <v>539</v>
      </c>
      <c r="F80" s="59" t="str">
        <f ca="1">E80</f>
        <v>Maxima Rouse Hill</v>
      </c>
      <c r="G80" s="31"/>
      <c r="H80" s="64">
        <v>0</v>
      </c>
      <c r="I80" s="94">
        <v>-1</v>
      </c>
      <c r="J80" s="64">
        <v>0</v>
      </c>
      <c r="K80" s="94">
        <v>-1</v>
      </c>
      <c r="L80" s="64">
        <v>0</v>
      </c>
      <c r="M80" s="94">
        <v>-1</v>
      </c>
      <c r="N80" s="64">
        <v>0</v>
      </c>
      <c r="O80" s="94">
        <v>-1</v>
      </c>
      <c r="P80" s="64">
        <v>0</v>
      </c>
      <c r="Q80" s="94">
        <v>-1</v>
      </c>
      <c r="R80" s="64">
        <v>0</v>
      </c>
      <c r="S80" s="94">
        <v>-1</v>
      </c>
      <c r="T80" s="64">
        <v>0</v>
      </c>
      <c r="U80" s="94">
        <v>-1</v>
      </c>
      <c r="V80" s="64">
        <v>0</v>
      </c>
      <c r="W80" s="94">
        <v>-1</v>
      </c>
      <c r="X80" s="64">
        <v>0</v>
      </c>
      <c r="Y80" s="94">
        <v>-1</v>
      </c>
      <c r="Z80" s="64">
        <v>0</v>
      </c>
      <c r="AA80" s="94">
        <v>-1</v>
      </c>
      <c r="AB80" s="64">
        <v>0</v>
      </c>
      <c r="AC80" s="94">
        <v>0</v>
      </c>
      <c r="AD80" s="64">
        <v>0</v>
      </c>
      <c r="AE80" s="94">
        <v>0</v>
      </c>
      <c r="AF80" s="95">
        <v>0</v>
      </c>
      <c r="AG80" s="69">
        <v>0</v>
      </c>
    </row>
    <row r="81" spans="1:33" ht="14.5">
      <c r="A81" t="s">
        <v>11</v>
      </c>
      <c r="C81" s="31"/>
      <c r="D81" t="s">
        <v>251</v>
      </c>
      <c r="E81" t="s">
        <v>540</v>
      </c>
      <c r="F81" s="59" t="str">
        <f ca="1">E81</f>
        <v>Maxima Watergardens POP</v>
      </c>
      <c r="G81" s="31"/>
      <c r="H81" s="64">
        <v>0</v>
      </c>
      <c r="I81" s="94">
        <v>-1</v>
      </c>
      <c r="J81" s="64">
        <v>0</v>
      </c>
      <c r="K81" s="94">
        <v>-1</v>
      </c>
      <c r="L81" s="64">
        <v>0</v>
      </c>
      <c r="M81" s="94">
        <v>-1</v>
      </c>
      <c r="N81" s="64">
        <v>0</v>
      </c>
      <c r="O81" s="94">
        <v>-1</v>
      </c>
      <c r="P81" s="64">
        <v>0</v>
      </c>
      <c r="Q81" s="94">
        <v>-1</v>
      </c>
      <c r="R81" s="64">
        <v>0</v>
      </c>
      <c r="S81" s="94">
        <v>-1</v>
      </c>
      <c r="T81" s="64">
        <v>0</v>
      </c>
      <c r="U81" s="94">
        <v>-1</v>
      </c>
      <c r="V81" s="64">
        <v>0</v>
      </c>
      <c r="W81" s="94">
        <v>-1</v>
      </c>
      <c r="X81" s="64">
        <v>0</v>
      </c>
      <c r="Y81" s="94">
        <v>-1</v>
      </c>
      <c r="Z81" s="64">
        <v>0</v>
      </c>
      <c r="AA81" s="94">
        <v>-1</v>
      </c>
      <c r="AB81" s="64">
        <v>0</v>
      </c>
      <c r="AC81" s="94">
        <v>-1</v>
      </c>
      <c r="AD81" s="64">
        <v>0</v>
      </c>
      <c r="AE81" s="94">
        <v>-1</v>
      </c>
      <c r="AF81" s="95">
        <v>0</v>
      </c>
      <c r="AG81" s="69">
        <v>0</v>
      </c>
    </row>
    <row r="82" spans="1:33" ht="14.5">
      <c r="A82" t="s">
        <v>11</v>
      </c>
      <c r="C82" s="31"/>
      <c r="D82" t="s">
        <v>191</v>
      </c>
      <c r="E82" t="s">
        <v>541</v>
      </c>
      <c r="F82" s="59" t="str">
        <f ca="1">E82</f>
        <v>Maxima Queensgate</v>
      </c>
      <c r="G82" s="31"/>
      <c r="H82" s="64">
        <v>447.82000000000005</v>
      </c>
      <c r="I82" s="94">
        <v>3.4585822381521312</v>
      </c>
      <c r="J82" s="64">
        <v>321.02999999999997</v>
      </c>
      <c r="K82" s="94">
        <v>1.104838709677419</v>
      </c>
      <c r="L82" s="64">
        <v>447.66999999999996</v>
      </c>
      <c r="M82" s="94">
        <v>0.29052437372077616</v>
      </c>
      <c r="N82" s="64">
        <v>441.13999999999999</v>
      </c>
      <c r="O82" s="94">
        <v>1.6799100905169795</v>
      </c>
      <c r="P82" s="64">
        <v>221.66999999999996</v>
      </c>
      <c r="Q82" s="94">
        <v>4.6751152073732705</v>
      </c>
      <c r="R82" s="64">
        <v>456.20999999999998</v>
      </c>
      <c r="S82" s="94">
        <v>0.67996022978347281</v>
      </c>
      <c r="T82" s="64">
        <v>266.32999999999998</v>
      </c>
      <c r="U82" s="94">
        <v>-0.052981545354336426</v>
      </c>
      <c r="V82" s="64">
        <v>141.56999999999999</v>
      </c>
      <c r="W82" s="94">
        <v>-0.46774193548387105</v>
      </c>
      <c r="X82" s="64">
        <v>230.40000000000001</v>
      </c>
      <c r="Y82" s="94">
        <v>-0.50052029136316345</v>
      </c>
      <c r="Z82" s="64">
        <v>0</v>
      </c>
      <c r="AA82" s="94">
        <v>-1</v>
      </c>
      <c r="AB82" s="64">
        <v>0</v>
      </c>
      <c r="AC82" s="94">
        <v>-1</v>
      </c>
      <c r="AD82" s="64">
        <v>0</v>
      </c>
      <c r="AE82" s="94">
        <v>-1</v>
      </c>
      <c r="AF82" s="95">
        <v>2973.8400000000001</v>
      </c>
      <c r="AG82" s="69">
        <v>0.0055724497353543592</v>
      </c>
    </row>
    <row r="83" spans="1:33" ht="14.5">
      <c r="A83" t="s">
        <v>11</v>
      </c>
      <c r="C83" s="31"/>
      <c r="D83" t="s">
        <v>250</v>
      </c>
      <c r="E83" t="s">
        <v>542</v>
      </c>
      <c r="F83" s="59" t="str">
        <f ca="1">E83</f>
        <v>Maxima Albany</v>
      </c>
      <c r="G83" s="31"/>
      <c r="H83" s="64">
        <v>1220.3499999999999</v>
      </c>
      <c r="I83" s="94">
        <v>0.70948492022357001</v>
      </c>
      <c r="J83" s="64">
        <v>1058.76</v>
      </c>
      <c r="K83" s="94">
        <v>0.50550294343486046</v>
      </c>
      <c r="L83" s="64">
        <v>871.68999999999983</v>
      </c>
      <c r="M83" s="94">
        <v>-0.2826423292789309</v>
      </c>
      <c r="N83" s="64">
        <v>915.16000000000008</v>
      </c>
      <c r="O83" s="94">
        <v>-0.0060171608558703708</v>
      </c>
      <c r="P83" s="64">
        <v>608.66999999999996</v>
      </c>
      <c r="Q83" s="94">
        <v>-0.037523719165085422</v>
      </c>
      <c r="R83" s="64">
        <v>693.96000000000004</v>
      </c>
      <c r="S83" s="94">
        <v>-0.18072346052134494</v>
      </c>
      <c r="T83" s="64">
        <v>616.48000000000002</v>
      </c>
      <c r="U83" s="94">
        <v>-0.50278658246429053</v>
      </c>
      <c r="V83" s="64">
        <v>578.32000000000005</v>
      </c>
      <c r="W83" s="94">
        <v>-0.44910886939292616</v>
      </c>
      <c r="X83" s="64">
        <v>729.13999999999999</v>
      </c>
      <c r="Y83" s="94">
        <v>-0.32955726173509275</v>
      </c>
      <c r="Z83" s="64">
        <v>715.25</v>
      </c>
      <c r="AA83" s="94">
        <v>-0.37403183882796714</v>
      </c>
      <c r="AB83" s="64">
        <v>463.57999999999998</v>
      </c>
      <c r="AC83" s="94">
        <v>-0.58742646600749371</v>
      </c>
      <c r="AD83" s="64">
        <v>1366.5999999999999</v>
      </c>
      <c r="AE83" s="94">
        <v>-0.36475324107860868</v>
      </c>
      <c r="AF83" s="95">
        <v>9837.9600000000009</v>
      </c>
      <c r="AG83" s="69">
        <v>0.01843459553924447</v>
      </c>
    </row>
    <row r="84" spans="1:33" ht="14.5">
      <c r="A84" t="s">
        <v>11</v>
      </c>
      <c r="C84" s="31"/>
      <c r="D84" t="s">
        <v>190</v>
      </c>
      <c r="E84" t="s">
        <v>543</v>
      </c>
      <c r="F84" s="59" t="str">
        <f ca="1">E84</f>
        <v>Maxima Bayfair</v>
      </c>
      <c r="G84" s="31"/>
      <c r="H84" s="64">
        <v>1214.9400000000001</v>
      </c>
      <c r="I84" s="94">
        <v>0.74417502907101962</v>
      </c>
      <c r="J84" s="64">
        <v>1022.47</v>
      </c>
      <c r="K84" s="94">
        <v>1.5317436735502401</v>
      </c>
      <c r="L84" s="64">
        <v>670.31999999999994</v>
      </c>
      <c r="M84" s="94">
        <v>0.079003283755070389</v>
      </c>
      <c r="N84" s="64">
        <v>425.77999999999997</v>
      </c>
      <c r="O84" s="94">
        <v>-0.15029236264942428</v>
      </c>
      <c r="P84" s="64">
        <v>360.57999999999998</v>
      </c>
      <c r="Q84" s="94">
        <v>-0.46299109403389632</v>
      </c>
      <c r="R84" s="64">
        <v>573.94000000000005</v>
      </c>
      <c r="S84" s="94">
        <v>-0.43319606158464924</v>
      </c>
      <c r="T84" s="64">
        <v>407.35000000000002</v>
      </c>
      <c r="U84" s="94">
        <v>-0.5180373643796069</v>
      </c>
      <c r="V84" s="64">
        <v>297.95000000000005</v>
      </c>
      <c r="W84" s="94">
        <v>-0.54100810302862246</v>
      </c>
      <c r="X84" s="64">
        <v>144.35000000000002</v>
      </c>
      <c r="Y84" s="94">
        <v>-0.83781081111448186</v>
      </c>
      <c r="Z84" s="64">
        <v>17.579999999999998</v>
      </c>
      <c r="AA84" s="94">
        <v>-0.96293485135989887</v>
      </c>
      <c r="AB84" s="64">
        <v>96.219999999999999</v>
      </c>
      <c r="AC84" s="94">
        <v>-0.88050173869845993</v>
      </c>
      <c r="AD84" s="64">
        <v>0</v>
      </c>
      <c r="AE84" s="94">
        <v>-1</v>
      </c>
      <c r="AF84" s="95">
        <v>5231.4799999999996</v>
      </c>
      <c r="AG84" s="69">
        <v>0.0098028674513462796</v>
      </c>
    </row>
    <row r="85" spans="1:33" ht="14.5">
      <c r="A85" t="s">
        <v>11</v>
      </c>
      <c r="C85" s="31"/>
      <c r="D85" t="s">
        <v>231</v>
      </c>
      <c r="E85" t="s">
        <v>544</v>
      </c>
      <c r="F85" s="59" t="str">
        <f ca="1">E85</f>
        <v>Maxima Botany Town Centre</v>
      </c>
      <c r="G85" s="31"/>
      <c r="H85" s="64">
        <v>106.93999999999998</v>
      </c>
      <c r="I85" s="94">
        <v>-0.19363595234504616</v>
      </c>
      <c r="J85" s="64">
        <v>183.15000000000003</v>
      </c>
      <c r="K85" s="94">
        <v>-0.30899830220713048</v>
      </c>
      <c r="L85" s="64">
        <v>464.89999999999998</v>
      </c>
      <c r="M85" s="94">
        <v>0.68313964012888717</v>
      </c>
      <c r="N85" s="64">
        <v>427.76999999999992</v>
      </c>
      <c r="O85" s="94">
        <v>1.2415112135820581</v>
      </c>
      <c r="P85" s="64">
        <v>364.26999999999998</v>
      </c>
      <c r="Q85" s="94">
        <v>1.7779302981773812</v>
      </c>
      <c r="R85" s="64">
        <v>297.37</v>
      </c>
      <c r="S85" s="94">
        <v>-0.091611681329423295</v>
      </c>
      <c r="T85" s="64">
        <v>340.17000000000002</v>
      </c>
      <c r="U85" s="94">
        <v>-0.017814864006467677</v>
      </c>
      <c r="V85" s="64">
        <v>277.58999999999997</v>
      </c>
      <c r="W85" s="94">
        <v>-0.23387519664394352</v>
      </c>
      <c r="X85" s="64">
        <v>309</v>
      </c>
      <c r="Y85" s="94">
        <v>-0.24828492190921045</v>
      </c>
      <c r="Z85" s="64">
        <v>30.530000000000001</v>
      </c>
      <c r="AA85" s="94">
        <v>-0.9111311637655003</v>
      </c>
      <c r="AB85" s="64">
        <v>156.34999999999999</v>
      </c>
      <c r="AC85" s="94">
        <v>-0.34021184116132835</v>
      </c>
      <c r="AD85" s="64">
        <v>210.94</v>
      </c>
      <c r="AE85" s="94">
        <v>-0.56381306865177838</v>
      </c>
      <c r="AF85" s="95">
        <v>3168.9800000000005</v>
      </c>
      <c r="AG85" s="69">
        <v>0.0059381075519675773</v>
      </c>
    </row>
    <row r="86" spans="1:33" ht="14.5">
      <c r="A86">
        <v>1</v>
      </c>
      <c r="C86" s="31"/>
      <c r="D86" s="153" t="s">
        <v>189</v>
      </c>
      <c r="E86" s="100" t="s">
        <v>189</v>
      </c>
      <c r="F86" s="126" t="str">
        <f ca="1">E86</f>
        <v>Maxima Stores Brand</v>
      </c>
      <c r="G86" s="127"/>
      <c r="H86" s="101">
        <v>17272.799999999999</v>
      </c>
      <c r="I86" s="102">
        <v>0.23429159431474669</v>
      </c>
      <c r="J86" s="101">
        <v>14399.609999999997</v>
      </c>
      <c r="K86" s="102">
        <v>0.3042427986185518</v>
      </c>
      <c r="L86" s="101">
        <v>14744.529999999995</v>
      </c>
      <c r="M86" s="102">
        <v>-0.15797411651565532</v>
      </c>
      <c r="N86" s="101">
        <v>14021.249999999998</v>
      </c>
      <c r="O86" s="102">
        <v>-0.034458229235816429</v>
      </c>
      <c r="P86" s="101">
        <v>10553.99</v>
      </c>
      <c r="Q86" s="102">
        <v>0.13553971541544502</v>
      </c>
      <c r="R86" s="101">
        <v>13839.280000000001</v>
      </c>
      <c r="S86" s="102">
        <v>-0.15357897537361592</v>
      </c>
      <c r="T86" s="101">
        <v>12609.729999999998</v>
      </c>
      <c r="U86" s="102">
        <v>-0.22081259678258552</v>
      </c>
      <c r="V86" s="101">
        <v>10210.58</v>
      </c>
      <c r="W86" s="102">
        <v>-0.34073569974896445</v>
      </c>
      <c r="X86" s="101">
        <v>10521.889999999999</v>
      </c>
      <c r="Y86" s="102">
        <v>-0.46330442056725474</v>
      </c>
      <c r="Z86" s="101">
        <v>6384.3600000000006</v>
      </c>
      <c r="AA86" s="102">
        <v>-0.63465960137567168</v>
      </c>
      <c r="AB86" s="101">
        <v>6462.6999999999989</v>
      </c>
      <c r="AC86" s="102">
        <v>-0.47750321775294141</v>
      </c>
      <c r="AD86" s="101">
        <v>15552.24</v>
      </c>
      <c r="AE86" s="102">
        <v>-0.36650056843802348</v>
      </c>
      <c r="AF86" s="101">
        <v>146572.95999999999</v>
      </c>
      <c r="AG86" s="102">
        <v>0.27465178091696429</v>
      </c>
    </row>
    <row r="87" spans="1:33" ht="14.5">
      <c r="A87" t="s">
        <v>11</v>
      </c>
      <c r="C87" s="31"/>
      <c r="D87" t="s">
        <v>230</v>
      </c>
      <c r="E87" t="s">
        <v>545</v>
      </c>
      <c r="F87" s="59" t="str">
        <f ca="1">E87</f>
        <v>Mecca Bondi</v>
      </c>
      <c r="G87" s="31"/>
      <c r="H87" s="64">
        <v>46</v>
      </c>
      <c r="I87" s="94">
        <v>-0.78095238095238095</v>
      </c>
      <c r="J87" s="64">
        <v>0</v>
      </c>
      <c r="K87" s="94">
        <v>-1</v>
      </c>
      <c r="L87" s="64">
        <v>0</v>
      </c>
      <c r="M87" s="94">
        <v>-1</v>
      </c>
      <c r="N87" s="64">
        <v>0</v>
      </c>
      <c r="O87" s="94">
        <v>-1</v>
      </c>
      <c r="P87" s="64">
        <v>5</v>
      </c>
      <c r="Q87" s="94">
        <v>-0.9242424242424242</v>
      </c>
      <c r="R87" s="64">
        <v>0</v>
      </c>
      <c r="S87" s="94">
        <v>-1</v>
      </c>
      <c r="T87" s="64">
        <v>64</v>
      </c>
      <c r="U87" s="94">
        <v>1.1333333333333333</v>
      </c>
      <c r="V87" s="64">
        <v>15.6</v>
      </c>
      <c r="W87" s="94">
        <v>-0.35000000000000003</v>
      </c>
      <c r="X87" s="64">
        <v>44</v>
      </c>
      <c r="Y87" s="94">
        <v>2.3846153846153846</v>
      </c>
      <c r="Z87" s="64">
        <v>18</v>
      </c>
      <c r="AA87" s="94">
        <v>-0.56097560975609762</v>
      </c>
      <c r="AB87" s="64">
        <v>14.4</v>
      </c>
      <c r="AC87" s="94">
        <v>-0.7857142857142857</v>
      </c>
      <c r="AD87" s="64">
        <v>0</v>
      </c>
      <c r="AE87" s="94">
        <v>-1</v>
      </c>
      <c r="AF87" s="95">
        <v>207</v>
      </c>
      <c r="AG87" s="69">
        <v>0.00038788135717400811</v>
      </c>
    </row>
    <row r="88" spans="1:33" ht="14.5">
      <c r="A88" t="s">
        <v>11</v>
      </c>
      <c r="C88" s="31"/>
      <c r="D88" t="s">
        <v>229</v>
      </c>
      <c r="E88" t="s">
        <v>546</v>
      </c>
      <c r="F88" s="59" t="str">
        <f ca="1">E88</f>
        <v>Mecca Rundle Mall</v>
      </c>
      <c r="G88" s="31"/>
      <c r="H88" s="64">
        <v>1135.4000000000001</v>
      </c>
      <c r="I88" s="94">
        <v>0.67167255594817432</v>
      </c>
      <c r="J88" s="64">
        <v>1034.8</v>
      </c>
      <c r="K88" s="94">
        <v>-0.12062885064797114</v>
      </c>
      <c r="L88" s="64">
        <v>1078.4000000000001</v>
      </c>
      <c r="M88" s="94">
        <v>-0.32150497042909271</v>
      </c>
      <c r="N88" s="64">
        <v>763</v>
      </c>
      <c r="O88" s="94">
        <v>-0.49663544003166643</v>
      </c>
      <c r="P88" s="64">
        <v>471.80000000000001</v>
      </c>
      <c r="Q88" s="94">
        <v>-0.37343957503320052</v>
      </c>
      <c r="R88" s="64">
        <v>558.79999999999995</v>
      </c>
      <c r="S88" s="94">
        <v>-0.60368794326241138</v>
      </c>
      <c r="T88" s="64">
        <v>811</v>
      </c>
      <c r="U88" s="94">
        <v>-0.37644164231892968</v>
      </c>
      <c r="V88" s="64">
        <v>713.60000000000002</v>
      </c>
      <c r="W88" s="94">
        <v>-0.20303774849229389</v>
      </c>
      <c r="X88" s="64">
        <v>1402.4000000000001</v>
      </c>
      <c r="Y88" s="94">
        <v>-0.23964432877900671</v>
      </c>
      <c r="Z88" s="64">
        <v>711.79999999999995</v>
      </c>
      <c r="AA88" s="94">
        <v>-0.54989250031617565</v>
      </c>
      <c r="AB88" s="64">
        <v>445.39999999999998</v>
      </c>
      <c r="AC88" s="94">
        <v>-0.66795884896376923</v>
      </c>
      <c r="AD88" s="64">
        <v>820.39999999999998</v>
      </c>
      <c r="AE88" s="94">
        <v>-0.76122009430118165</v>
      </c>
      <c r="AF88" s="95">
        <v>9946.7999999999993</v>
      </c>
      <c r="AG88" s="69">
        <v>0.018638542432552772</v>
      </c>
    </row>
    <row r="89" spans="1:33" ht="14.5">
      <c r="A89" t="s">
        <v>11</v>
      </c>
      <c r="C89" s="31"/>
      <c r="D89" t="s">
        <v>222</v>
      </c>
      <c r="E89" t="s">
        <v>547</v>
      </c>
      <c r="F89" s="59" t="str">
        <f ca="1">E89</f>
        <v>Mecca Chatswood old</v>
      </c>
      <c r="G89" s="31"/>
      <c r="H89" s="64">
        <v>0</v>
      </c>
      <c r="I89" s="94">
        <v>-1</v>
      </c>
      <c r="J89" s="64">
        <v>0</v>
      </c>
      <c r="K89" s="94">
        <v>-1</v>
      </c>
      <c r="L89" s="64">
        <v>0</v>
      </c>
      <c r="M89" s="94">
        <v>-1</v>
      </c>
      <c r="N89" s="64">
        <v>0</v>
      </c>
      <c r="O89" s="94">
        <v>0</v>
      </c>
      <c r="P89" s="64">
        <v>0</v>
      </c>
      <c r="Q89" s="94">
        <v>0</v>
      </c>
      <c r="R89" s="64">
        <v>0</v>
      </c>
      <c r="S89" s="94">
        <v>0</v>
      </c>
      <c r="T89" s="64">
        <v>0</v>
      </c>
      <c r="U89" s="94">
        <v>0</v>
      </c>
      <c r="V89" s="64">
        <v>0</v>
      </c>
      <c r="W89" s="94">
        <v>0</v>
      </c>
      <c r="X89" s="64">
        <v>0</v>
      </c>
      <c r="Y89" s="94">
        <v>0</v>
      </c>
      <c r="Z89" s="64">
        <v>0</v>
      </c>
      <c r="AA89" s="94">
        <v>0</v>
      </c>
      <c r="AB89" s="64">
        <v>0</v>
      </c>
      <c r="AC89" s="94">
        <v>0</v>
      </c>
      <c r="AD89" s="64">
        <v>0</v>
      </c>
      <c r="AE89" s="94">
        <v>0</v>
      </c>
      <c r="AF89" s="95">
        <v>0</v>
      </c>
      <c r="AG89" s="69">
        <v>0</v>
      </c>
    </row>
    <row r="90" spans="1:33" ht="14.5">
      <c r="A90" t="s">
        <v>11</v>
      </c>
      <c r="C90" s="31"/>
      <c r="D90" t="s">
        <v>228</v>
      </c>
      <c r="E90" t="s">
        <v>548</v>
      </c>
      <c r="F90" s="59" t="str">
        <f ca="1">E90</f>
        <v>Mecca Narellan</v>
      </c>
      <c r="G90" s="31"/>
      <c r="H90" s="64">
        <v>422.80000000000001</v>
      </c>
      <c r="I90" s="94">
        <v>1.4870588235294118</v>
      </c>
      <c r="J90" s="64">
        <v>407.80000000000001</v>
      </c>
      <c r="K90" s="94">
        <v>0.58677042801556423</v>
      </c>
      <c r="L90" s="64">
        <v>332.80000000000001</v>
      </c>
      <c r="M90" s="94">
        <v>-0.17745921898171035</v>
      </c>
      <c r="N90" s="64">
        <v>267</v>
      </c>
      <c r="O90" s="94">
        <v>0.16086956521739129</v>
      </c>
      <c r="P90" s="64">
        <v>101</v>
      </c>
      <c r="Q90" s="94">
        <v>-0.5306691449814126</v>
      </c>
      <c r="R90" s="64">
        <v>108</v>
      </c>
      <c r="S90" s="94">
        <v>-0.76863753213367603</v>
      </c>
      <c r="T90" s="64">
        <v>18</v>
      </c>
      <c r="U90" s="94">
        <v>-0.92091388400702989</v>
      </c>
      <c r="V90" s="64">
        <v>12</v>
      </c>
      <c r="W90" s="94">
        <v>-0.96828752642706128</v>
      </c>
      <c r="X90" s="64">
        <v>0</v>
      </c>
      <c r="Y90" s="94">
        <v>-1</v>
      </c>
      <c r="Z90" s="64">
        <v>14</v>
      </c>
      <c r="AA90" s="94">
        <v>-0.95870206489675514</v>
      </c>
      <c r="AB90" s="64">
        <v>28</v>
      </c>
      <c r="AC90" s="94">
        <v>-0.91222570532915359</v>
      </c>
      <c r="AD90" s="64">
        <v>14</v>
      </c>
      <c r="AE90" s="94">
        <v>-0.98271604938271606</v>
      </c>
      <c r="AF90" s="95">
        <v>1725.4000000000001</v>
      </c>
      <c r="AG90" s="69">
        <v>0.0032330941723093414</v>
      </c>
    </row>
    <row r="91" spans="1:33" ht="14.5">
      <c r="A91" t="s">
        <v>11</v>
      </c>
      <c r="C91" s="31"/>
      <c r="D91" t="s">
        <v>227</v>
      </c>
      <c r="E91" t="s">
        <v>549</v>
      </c>
      <c r="F91" s="59" t="str">
        <f ca="1">E91</f>
        <v>Mecca Booragoon POP</v>
      </c>
      <c r="G91" s="31"/>
      <c r="H91" s="64">
        <v>0</v>
      </c>
      <c r="I91" s="94">
        <v>-1</v>
      </c>
      <c r="J91" s="64">
        <v>0</v>
      </c>
      <c r="K91" s="94">
        <v>-1</v>
      </c>
      <c r="L91" s="64">
        <v>0</v>
      </c>
      <c r="M91" s="94">
        <v>-1</v>
      </c>
      <c r="N91" s="64">
        <v>0</v>
      </c>
      <c r="O91" s="94">
        <v>-1</v>
      </c>
      <c r="P91" s="64">
        <v>0</v>
      </c>
      <c r="Q91" s="94">
        <v>0</v>
      </c>
      <c r="R91" s="64">
        <v>0</v>
      </c>
      <c r="S91" s="94">
        <v>0</v>
      </c>
      <c r="T91" s="64">
        <v>0</v>
      </c>
      <c r="U91" s="94">
        <v>0</v>
      </c>
      <c r="V91" s="64">
        <v>0</v>
      </c>
      <c r="W91" s="94">
        <v>0</v>
      </c>
      <c r="X91" s="64">
        <v>0</v>
      </c>
      <c r="Y91" s="94">
        <v>0</v>
      </c>
      <c r="Z91" s="64">
        <v>0</v>
      </c>
      <c r="AA91" s="94">
        <v>0</v>
      </c>
      <c r="AB91" s="64">
        <v>0</v>
      </c>
      <c r="AC91" s="94">
        <v>0</v>
      </c>
      <c r="AD91" s="64">
        <v>0</v>
      </c>
      <c r="AE91" s="94">
        <v>0</v>
      </c>
      <c r="AF91" s="95">
        <v>0</v>
      </c>
      <c r="AG91" s="69">
        <v>0</v>
      </c>
    </row>
    <row r="92" spans="1:33" ht="14.5">
      <c r="A92" t="s">
        <v>11</v>
      </c>
      <c r="C92" s="31"/>
      <c r="D92" t="s">
        <v>226</v>
      </c>
      <c r="E92" t="s">
        <v>550</v>
      </c>
      <c r="F92" s="59" t="str">
        <f ca="1">E92</f>
        <v>Mecca The Glen</v>
      </c>
      <c r="G92" s="31"/>
      <c r="H92" s="64">
        <v>182.80000000000001</v>
      </c>
      <c r="I92" s="94">
        <v>-0.095049504950494995</v>
      </c>
      <c r="J92" s="64">
        <v>229</v>
      </c>
      <c r="K92" s="94">
        <v>1.4309978768577496</v>
      </c>
      <c r="L92" s="64">
        <v>188</v>
      </c>
      <c r="M92" s="94">
        <v>-0.4088050314465409</v>
      </c>
      <c r="N92" s="64">
        <v>188</v>
      </c>
      <c r="O92" s="94">
        <v>0.93814432989690721</v>
      </c>
      <c r="P92" s="64">
        <v>43</v>
      </c>
      <c r="Q92" s="94">
        <v>-0.56565656565656564</v>
      </c>
      <c r="R92" s="64">
        <v>165</v>
      </c>
      <c r="S92" s="94">
        <v>-0.1334033613445377</v>
      </c>
      <c r="T92" s="64">
        <v>61</v>
      </c>
      <c r="U92" s="94">
        <v>-0.68393782383419688</v>
      </c>
      <c r="V92" s="64">
        <v>124</v>
      </c>
      <c r="W92" s="94">
        <v>0</v>
      </c>
      <c r="X92" s="64">
        <v>148</v>
      </c>
      <c r="Y92" s="94">
        <v>-0.074999999999999997</v>
      </c>
      <c r="Z92" s="64">
        <v>101</v>
      </c>
      <c r="AA92" s="94">
        <v>-0.57916666666666672</v>
      </c>
      <c r="AB92" s="64">
        <v>45</v>
      </c>
      <c r="AC92" s="94">
        <v>0.66666666666666663</v>
      </c>
      <c r="AD92" s="64">
        <v>59</v>
      </c>
      <c r="AE92" s="94">
        <v>-0.81677018633540377</v>
      </c>
      <c r="AF92" s="95">
        <v>1533.8</v>
      </c>
      <c r="AG92" s="69">
        <v>0.002874069689050694</v>
      </c>
    </row>
    <row r="93" spans="1:33" ht="14.5">
      <c r="A93" t="s">
        <v>11</v>
      </c>
      <c r="C93" s="31"/>
      <c r="D93" t="s">
        <v>188</v>
      </c>
      <c r="E93" t="s">
        <v>551</v>
      </c>
      <c r="F93" s="59" t="str">
        <f ca="1">E93</f>
        <v>Mecca Forrest Chase Pop</v>
      </c>
      <c r="G93" s="31"/>
      <c r="H93" s="64">
        <v>168.59999999999999</v>
      </c>
      <c r="I93" s="94">
        <v>32.719999999999999</v>
      </c>
      <c r="J93" s="64">
        <v>40.600000000000001</v>
      </c>
      <c r="K93" s="94">
        <v>0</v>
      </c>
      <c r="L93" s="64">
        <v>53</v>
      </c>
      <c r="M93" s="94">
        <v>-0.85963983050847459</v>
      </c>
      <c r="N93" s="64">
        <v>31</v>
      </c>
      <c r="O93" s="94">
        <v>-0.78014184397163122</v>
      </c>
      <c r="P93" s="64">
        <v>0</v>
      </c>
      <c r="Q93" s="94">
        <v>-1</v>
      </c>
      <c r="R93" s="64">
        <v>13.800000000000001</v>
      </c>
      <c r="S93" s="94">
        <v>-0.97429210134128175</v>
      </c>
      <c r="T93" s="64">
        <v>31</v>
      </c>
      <c r="U93" s="94">
        <v>-0.92853849700322733</v>
      </c>
      <c r="V93" s="64">
        <v>123.59999999999999</v>
      </c>
      <c r="W93" s="94">
        <v>-0.47759932375316994</v>
      </c>
      <c r="X93" s="64">
        <v>24</v>
      </c>
      <c r="Y93" s="94">
        <v>-0.64179104477611937</v>
      </c>
      <c r="Z93" s="64">
        <v>37.600000000000001</v>
      </c>
      <c r="AA93" s="94">
        <v>-0.18260869565217389</v>
      </c>
      <c r="AB93" s="64">
        <v>6</v>
      </c>
      <c r="AC93" s="94">
        <v>-0.92771084337349397</v>
      </c>
      <c r="AD93" s="64">
        <v>54</v>
      </c>
      <c r="AE93" s="94">
        <v>-0.59641255605381172</v>
      </c>
      <c r="AF93" s="95">
        <v>583.20000000000005</v>
      </c>
      <c r="AG93" s="69">
        <v>0.0010928135628206839</v>
      </c>
    </row>
    <row r="94" spans="1:33" ht="14.5">
      <c r="A94" t="s">
        <v>11</v>
      </c>
      <c r="C94" s="31"/>
      <c r="D94" t="s">
        <v>225</v>
      </c>
      <c r="E94" t="s">
        <v>552</v>
      </c>
      <c r="F94" s="59" t="str">
        <f ca="1">E94</f>
        <v>Mecca Sunshine Plaza (OLD)</v>
      </c>
      <c r="G94" s="31"/>
      <c r="H94" s="64">
        <v>491.80000000000001</v>
      </c>
      <c r="I94" s="94">
        <v>1.1799645390070925</v>
      </c>
      <c r="J94" s="64">
        <v>368.60000000000002</v>
      </c>
      <c r="K94" s="94">
        <v>6.171206225680935</v>
      </c>
      <c r="L94" s="64">
        <v>416.80000000000001</v>
      </c>
      <c r="M94" s="94">
        <v>0.32823454429572974</v>
      </c>
      <c r="N94" s="64">
        <v>281</v>
      </c>
      <c r="O94" s="94">
        <v>-0.31895298109549203</v>
      </c>
      <c r="P94" s="64">
        <v>290</v>
      </c>
      <c r="Q94" s="94">
        <v>4.5769230769230766</v>
      </c>
      <c r="R94" s="64">
        <v>131</v>
      </c>
      <c r="S94" s="94">
        <v>-0.76548514142499102</v>
      </c>
      <c r="T94" s="64">
        <v>137</v>
      </c>
      <c r="U94" s="94">
        <v>-0.73073899371069184</v>
      </c>
      <c r="V94" s="64">
        <v>0</v>
      </c>
      <c r="W94" s="94">
        <v>-1</v>
      </c>
      <c r="X94" s="64">
        <v>0</v>
      </c>
      <c r="Y94" s="94">
        <v>-1</v>
      </c>
      <c r="Z94" s="64">
        <v>0</v>
      </c>
      <c r="AA94" s="94">
        <v>-1</v>
      </c>
      <c r="AB94" s="64">
        <v>0</v>
      </c>
      <c r="AC94" s="94">
        <v>-1</v>
      </c>
      <c r="AD94" s="64">
        <v>0</v>
      </c>
      <c r="AE94" s="94">
        <v>-1</v>
      </c>
      <c r="AF94" s="95">
        <v>2116.1999999999998</v>
      </c>
      <c r="AG94" s="69">
        <v>0.0039653841934861643</v>
      </c>
    </row>
    <row r="95" spans="1:33" ht="14.5">
      <c r="A95" t="s">
        <v>11</v>
      </c>
      <c r="C95" s="31"/>
      <c r="D95" t="s">
        <v>224</v>
      </c>
      <c r="E95" t="s">
        <v>553</v>
      </c>
      <c r="F95" s="59" t="str">
        <f ca="1">E95</f>
        <v>Mecca Fountain Gate</v>
      </c>
      <c r="G95" s="31"/>
      <c r="H95" s="64">
        <v>959.79999999999995</v>
      </c>
      <c r="I95" s="94">
        <v>2.4401433691756269</v>
      </c>
      <c r="J95" s="64">
        <v>436</v>
      </c>
      <c r="K95" s="94">
        <v>0.70980392156862748</v>
      </c>
      <c r="L95" s="64">
        <v>1360.5999999999999</v>
      </c>
      <c r="M95" s="94">
        <v>1.5177646188008875</v>
      </c>
      <c r="N95" s="64">
        <v>1217.5999999999999</v>
      </c>
      <c r="O95" s="94">
        <v>1.1459287980260837</v>
      </c>
      <c r="P95" s="64">
        <v>924</v>
      </c>
      <c r="Q95" s="94">
        <v>0.51326564035375033</v>
      </c>
      <c r="R95" s="64">
        <v>873</v>
      </c>
      <c r="S95" s="94">
        <v>-0.24650440186431893</v>
      </c>
      <c r="T95" s="64">
        <v>699.79999999999995</v>
      </c>
      <c r="U95" s="94">
        <v>-0.35904011723758944</v>
      </c>
      <c r="V95" s="64">
        <v>470</v>
      </c>
      <c r="W95" s="94">
        <v>-0.55710516396532217</v>
      </c>
      <c r="X95" s="64">
        <v>307</v>
      </c>
      <c r="Y95" s="94">
        <v>-0.75420336269015209</v>
      </c>
      <c r="Z95" s="64">
        <v>400.39999999999998</v>
      </c>
      <c r="AA95" s="94">
        <v>-0.62119205298013247</v>
      </c>
      <c r="AB95" s="64">
        <v>14</v>
      </c>
      <c r="AC95" s="94">
        <v>-0.96846846846846846</v>
      </c>
      <c r="AD95" s="64">
        <v>541.79999999999995</v>
      </c>
      <c r="AE95" s="94">
        <v>-0.60452554744525555</v>
      </c>
      <c r="AF95" s="95">
        <v>8204</v>
      </c>
      <c r="AG95" s="69">
        <v>0.015372843740365037</v>
      </c>
    </row>
    <row r="96" spans="1:33" ht="14.5">
      <c r="A96" t="s">
        <v>11</v>
      </c>
      <c r="C96" s="31"/>
      <c r="D96" t="s">
        <v>187</v>
      </c>
      <c r="E96" t="s">
        <v>554</v>
      </c>
      <c r="F96" s="59" t="str">
        <f ca="1">E96</f>
        <v>Mecca Southland</v>
      </c>
      <c r="G96" s="31"/>
      <c r="H96" s="64">
        <v>1147</v>
      </c>
      <c r="I96" s="94">
        <v>0.68924889543446244</v>
      </c>
      <c r="J96" s="64">
        <v>583</v>
      </c>
      <c r="K96" s="94">
        <v>0.29555555555555557</v>
      </c>
      <c r="L96" s="64">
        <v>624.79999999999995</v>
      </c>
      <c r="M96" s="94">
        <v>0.098066783831282867</v>
      </c>
      <c r="N96" s="64">
        <v>423</v>
      </c>
      <c r="O96" s="94">
        <v>-0.1964285714285714</v>
      </c>
      <c r="P96" s="64">
        <v>456</v>
      </c>
      <c r="Q96" s="94">
        <v>-0.070525886669384474</v>
      </c>
      <c r="R96" s="64">
        <v>414</v>
      </c>
      <c r="S96" s="94">
        <v>-0.51905204460966536</v>
      </c>
      <c r="T96" s="64">
        <v>424.80000000000001</v>
      </c>
      <c r="U96" s="94">
        <v>-0.54234001292824818</v>
      </c>
      <c r="V96" s="64">
        <v>300.80000000000001</v>
      </c>
      <c r="W96" s="94">
        <v>-0.62914560473431147</v>
      </c>
      <c r="X96" s="64">
        <v>42</v>
      </c>
      <c r="Y96" s="94">
        <v>-0.95375467958599425</v>
      </c>
      <c r="Z96" s="64">
        <v>133</v>
      </c>
      <c r="AA96" s="94">
        <v>-0.53658536585365857</v>
      </c>
      <c r="AB96" s="64">
        <v>143</v>
      </c>
      <c r="AC96" s="94">
        <v>-0.82165128460962833</v>
      </c>
      <c r="AD96" s="64">
        <v>600</v>
      </c>
      <c r="AE96" s="94">
        <v>-0.71070395371263262</v>
      </c>
      <c r="AF96" s="95">
        <v>5291.4000000000005</v>
      </c>
      <c r="AG96" s="69">
        <v>0.0099151469243987777</v>
      </c>
    </row>
    <row r="97" spans="1:33" ht="14.5">
      <c r="A97" t="s">
        <v>11</v>
      </c>
      <c r="C97" s="31"/>
      <c r="D97" t="s">
        <v>186</v>
      </c>
      <c r="E97" t="s">
        <v>555</v>
      </c>
      <c r="F97" s="59" t="str">
        <f ca="1">E97</f>
        <v>Mecca Kotara</v>
      </c>
      <c r="G97" s="31"/>
      <c r="H97" s="64">
        <v>246</v>
      </c>
      <c r="I97" s="94">
        <v>0.52795031055900621</v>
      </c>
      <c r="J97" s="64">
        <v>144</v>
      </c>
      <c r="K97" s="94">
        <v>3.9655172413793105</v>
      </c>
      <c r="L97" s="64">
        <v>175</v>
      </c>
      <c r="M97" s="94">
        <v>3.375</v>
      </c>
      <c r="N97" s="64">
        <v>112</v>
      </c>
      <c r="O97" s="94">
        <v>0.4358974358974359</v>
      </c>
      <c r="P97" s="64">
        <v>0</v>
      </c>
      <c r="Q97" s="94">
        <v>-1</v>
      </c>
      <c r="R97" s="64">
        <v>236</v>
      </c>
      <c r="S97" s="94">
        <v>0.60544217687074831</v>
      </c>
      <c r="T97" s="64">
        <v>167.80000000000001</v>
      </c>
      <c r="U97" s="94">
        <v>-0.092972972972972912</v>
      </c>
      <c r="V97" s="64">
        <v>49</v>
      </c>
      <c r="W97" s="94">
        <v>0.088888888888888892</v>
      </c>
      <c r="X97" s="64">
        <v>52</v>
      </c>
      <c r="Y97" s="94">
        <v>-0.50286806883365198</v>
      </c>
      <c r="Z97" s="64">
        <v>0</v>
      </c>
      <c r="AA97" s="94">
        <v>-1</v>
      </c>
      <c r="AB97" s="64">
        <v>40</v>
      </c>
      <c r="AC97" s="94">
        <v>-0.047619047619047616</v>
      </c>
      <c r="AD97" s="64">
        <v>204</v>
      </c>
      <c r="AE97" s="94">
        <v>0.58139534883720934</v>
      </c>
      <c r="AF97" s="95">
        <v>1425.8</v>
      </c>
      <c r="AG97" s="69">
        <v>0.0026716968070468637</v>
      </c>
    </row>
    <row r="98" spans="1:33" ht="14.5">
      <c r="A98" t="s">
        <v>11</v>
      </c>
      <c r="C98" s="31"/>
      <c r="D98" t="s">
        <v>185</v>
      </c>
      <c r="E98" t="s">
        <v>556</v>
      </c>
      <c r="F98" s="59" t="str">
        <f ca="1">E98</f>
        <v>Mecca Parramatta</v>
      </c>
      <c r="G98" s="31"/>
      <c r="H98" s="64">
        <v>951</v>
      </c>
      <c r="I98" s="94">
        <v>0.096632841328413224</v>
      </c>
      <c r="J98" s="64">
        <v>957</v>
      </c>
      <c r="K98" s="94">
        <v>0.26386687797147379</v>
      </c>
      <c r="L98" s="64">
        <v>1175.8</v>
      </c>
      <c r="M98" s="94">
        <v>1.0391952826916404</v>
      </c>
      <c r="N98" s="64">
        <v>1207.8</v>
      </c>
      <c r="O98" s="94">
        <v>2.0331491712707179</v>
      </c>
      <c r="P98" s="64">
        <v>632.60000000000002</v>
      </c>
      <c r="Q98" s="94">
        <v>0.14435600578871216</v>
      </c>
      <c r="R98" s="64">
        <v>812.20000000000005</v>
      </c>
      <c r="S98" s="94">
        <v>-0.052275379229871591</v>
      </c>
      <c r="T98" s="64">
        <v>559</v>
      </c>
      <c r="U98" s="94">
        <v>-0.31259222823413679</v>
      </c>
      <c r="V98" s="64">
        <v>562.79999999999995</v>
      </c>
      <c r="W98" s="94">
        <v>-0.13442017840664425</v>
      </c>
      <c r="X98" s="64">
        <v>422.80000000000001</v>
      </c>
      <c r="Y98" s="94">
        <v>-0.62951279355064849</v>
      </c>
      <c r="Z98" s="64">
        <v>1004</v>
      </c>
      <c r="AA98" s="94">
        <v>0.028899364623898388</v>
      </c>
      <c r="AB98" s="64">
        <v>302</v>
      </c>
      <c r="AC98" s="94">
        <v>-0.55912408759124088</v>
      </c>
      <c r="AD98" s="64">
        <v>1042</v>
      </c>
      <c r="AE98" s="94">
        <v>-0.20006141563027785</v>
      </c>
      <c r="AF98" s="95">
        <v>9629</v>
      </c>
      <c r="AG98" s="69">
        <v>0.018043041489026686</v>
      </c>
    </row>
    <row r="99" spans="1:33" ht="14.5">
      <c r="A99" t="s">
        <v>11</v>
      </c>
      <c r="C99" s="31"/>
      <c r="D99" t="s">
        <v>184</v>
      </c>
      <c r="E99" t="s">
        <v>557</v>
      </c>
      <c r="F99" s="59" t="str">
        <f ca="1">E99</f>
        <v>Mecca Hornsby</v>
      </c>
      <c r="G99" s="31"/>
      <c r="H99" s="64">
        <v>178.80000000000001</v>
      </c>
      <c r="I99" s="94">
        <v>0.00027972027972034331</v>
      </c>
      <c r="J99" s="64">
        <v>216</v>
      </c>
      <c r="K99" s="94">
        <v>0.73913043478260865</v>
      </c>
      <c r="L99" s="64">
        <v>151</v>
      </c>
      <c r="M99" s="94">
        <v>-0.34913793103448276</v>
      </c>
      <c r="N99" s="64">
        <v>66</v>
      </c>
      <c r="O99" s="94">
        <v>-0.51683748169838939</v>
      </c>
      <c r="P99" s="64">
        <v>148.59999999999999</v>
      </c>
      <c r="Q99" s="94">
        <v>0.67342342342342343</v>
      </c>
      <c r="R99" s="64">
        <v>117.59999999999999</v>
      </c>
      <c r="S99" s="94">
        <v>-0.40785498489425981</v>
      </c>
      <c r="T99" s="64">
        <v>125.8</v>
      </c>
      <c r="U99" s="94">
        <v>-0.43025362318840582</v>
      </c>
      <c r="V99" s="64">
        <v>57</v>
      </c>
      <c r="W99" s="94">
        <v>-0.83620689655172409</v>
      </c>
      <c r="X99" s="64">
        <v>72.400000000000006</v>
      </c>
      <c r="Y99" s="94">
        <v>-0.36491228070175435</v>
      </c>
      <c r="Z99" s="64">
        <v>87</v>
      </c>
      <c r="AA99" s="94">
        <v>0.02594339622641513</v>
      </c>
      <c r="AB99" s="64">
        <v>127</v>
      </c>
      <c r="AC99" s="94">
        <v>1.4901960784313726</v>
      </c>
      <c r="AD99" s="64">
        <v>104</v>
      </c>
      <c r="AE99" s="94">
        <v>-0.72972972972972971</v>
      </c>
      <c r="AF99" s="95">
        <v>1451.2</v>
      </c>
      <c r="AG99" s="69">
        <v>0.0027192919107773945</v>
      </c>
    </row>
    <row r="100" spans="1:33" ht="14.5">
      <c r="A100" t="s">
        <v>11</v>
      </c>
      <c r="C100" s="31"/>
      <c r="D100" t="s">
        <v>183</v>
      </c>
      <c r="E100" t="s">
        <v>558</v>
      </c>
      <c r="F100" s="59" t="str">
        <f ca="1">E100</f>
        <v>Mecca Brighton</v>
      </c>
      <c r="G100" s="31"/>
      <c r="H100" s="64">
        <v>210</v>
      </c>
      <c r="I100" s="94">
        <v>1.1212121212121211</v>
      </c>
      <c r="J100" s="64">
        <v>140</v>
      </c>
      <c r="K100" s="94">
        <v>-0.054054054054054057</v>
      </c>
      <c r="L100" s="64">
        <v>201</v>
      </c>
      <c r="M100" s="94">
        <v>0.21084337349397592</v>
      </c>
      <c r="N100" s="64">
        <v>165</v>
      </c>
      <c r="O100" s="94">
        <v>26.5</v>
      </c>
      <c r="P100" s="64">
        <v>138</v>
      </c>
      <c r="Q100" s="94">
        <v>1.5555555555555556</v>
      </c>
      <c r="R100" s="64">
        <v>168</v>
      </c>
      <c r="S100" s="94">
        <v>2.5</v>
      </c>
      <c r="T100" s="64">
        <v>0</v>
      </c>
      <c r="U100" s="94">
        <v>-1</v>
      </c>
      <c r="V100" s="64">
        <v>0</v>
      </c>
      <c r="W100" s="94">
        <v>-1</v>
      </c>
      <c r="X100" s="64">
        <v>6</v>
      </c>
      <c r="Y100" s="94">
        <v>-0.97530864197530864</v>
      </c>
      <c r="Z100" s="64">
        <v>0</v>
      </c>
      <c r="AA100" s="94">
        <v>-1</v>
      </c>
      <c r="AB100" s="64">
        <v>0</v>
      </c>
      <c r="AC100" s="94">
        <v>-1</v>
      </c>
      <c r="AD100" s="64">
        <v>0</v>
      </c>
      <c r="AE100" s="94">
        <v>-1</v>
      </c>
      <c r="AF100" s="95">
        <v>1028</v>
      </c>
      <c r="AG100" s="69">
        <v>0.001926290024999422</v>
      </c>
    </row>
    <row r="101" spans="1:33" ht="14.5">
      <c r="A101" t="s">
        <v>11</v>
      </c>
      <c r="C101" s="31"/>
      <c r="D101" t="s">
        <v>279</v>
      </c>
      <c r="E101" t="s">
        <v>559</v>
      </c>
      <c r="F101" s="59" t="str">
        <f ca="1">E101</f>
        <v>Mecca Melbourne Airport</v>
      </c>
      <c r="G101" s="31"/>
      <c r="H101" s="64">
        <v>318.5</v>
      </c>
      <c r="I101" s="94">
        <v>3.5499999999999998</v>
      </c>
      <c r="J101" s="64">
        <v>245</v>
      </c>
      <c r="K101" s="94">
        <v>11.25</v>
      </c>
      <c r="L101" s="64">
        <v>374.5</v>
      </c>
      <c r="M101" s="94">
        <v>61.416666666666664</v>
      </c>
      <c r="N101" s="64">
        <v>327.5</v>
      </c>
      <c r="O101" s="94">
        <v>26.291666666666668</v>
      </c>
      <c r="P101" s="64">
        <v>244.59999999999999</v>
      </c>
      <c r="Q101" s="94">
        <v>4.8238095238095235</v>
      </c>
      <c r="R101" s="64">
        <v>295.19999999999999</v>
      </c>
      <c r="S101" s="94">
        <v>6.0285714285714285</v>
      </c>
      <c r="T101" s="64">
        <v>177.59999999999999</v>
      </c>
      <c r="U101" s="94">
        <v>2.0833333333333335</v>
      </c>
      <c r="V101" s="64">
        <v>0</v>
      </c>
      <c r="W101" s="94">
        <v>-1</v>
      </c>
      <c r="X101" s="64">
        <v>81</v>
      </c>
      <c r="Y101" s="94">
        <v>1.8928571428571428</v>
      </c>
      <c r="Z101" s="64">
        <v>0</v>
      </c>
      <c r="AA101" s="94">
        <v>-1</v>
      </c>
      <c r="AB101" s="64">
        <v>53.700000000000003</v>
      </c>
      <c r="AC101" s="94">
        <v>-0.81450777202072544</v>
      </c>
      <c r="AD101" s="64">
        <v>78.200000000000003</v>
      </c>
      <c r="AE101" s="94">
        <v>-0.79062918340026778</v>
      </c>
      <c r="AF101" s="95">
        <v>2195.7999999999993</v>
      </c>
      <c r="AG101" s="69">
        <v>0.004114540502814912</v>
      </c>
    </row>
    <row r="102" spans="1:33" ht="14.5">
      <c r="A102" t="s">
        <v>11</v>
      </c>
      <c r="C102" s="31"/>
      <c r="D102" t="s">
        <v>280</v>
      </c>
      <c r="E102" t="s">
        <v>560</v>
      </c>
      <c r="F102" s="59" t="str">
        <f ca="1">E102</f>
        <v>Mecca Sydney Airport</v>
      </c>
      <c r="G102" s="31"/>
      <c r="H102" s="64">
        <v>441.80000000000001</v>
      </c>
      <c r="I102" s="94">
        <v>5.7969230769230773</v>
      </c>
      <c r="J102" s="64">
        <v>529.79999999999995</v>
      </c>
      <c r="K102" s="94">
        <v>1.2757731958762883</v>
      </c>
      <c r="L102" s="64">
        <v>441.69999999999999</v>
      </c>
      <c r="M102" s="94">
        <v>0.16543535620052768</v>
      </c>
      <c r="N102" s="64">
        <v>864.39999999999998</v>
      </c>
      <c r="O102" s="94">
        <v>0.56339301862904689</v>
      </c>
      <c r="P102" s="64">
        <v>706.89999999999998</v>
      </c>
      <c r="Q102" s="94">
        <v>3.4181249999999999</v>
      </c>
      <c r="R102" s="64">
        <v>815.20000000000005</v>
      </c>
      <c r="S102" s="94">
        <v>1.1240229286086505</v>
      </c>
      <c r="T102" s="64">
        <v>407</v>
      </c>
      <c r="U102" s="94">
        <v>0.13244296048970514</v>
      </c>
      <c r="V102" s="64">
        <v>360.39999999999998</v>
      </c>
      <c r="W102" s="94">
        <v>0.084235860409145616</v>
      </c>
      <c r="X102" s="64">
        <v>236.09999999999999</v>
      </c>
      <c r="Y102" s="94">
        <v>-0.21821192052980135</v>
      </c>
      <c r="Z102" s="64">
        <v>339</v>
      </c>
      <c r="AA102" s="94">
        <v>-0.13165983606557372</v>
      </c>
      <c r="AB102" s="64">
        <v>385.19999999999999</v>
      </c>
      <c r="AC102" s="94">
        <v>0.14065738821439147</v>
      </c>
      <c r="AD102" s="64">
        <v>227.19999999999999</v>
      </c>
      <c r="AE102" s="94">
        <v>-0.60874806268296888</v>
      </c>
      <c r="AF102" s="95">
        <v>5754.6999999999998</v>
      </c>
      <c r="AG102" s="69">
        <v>0.010783289111735577</v>
      </c>
    </row>
    <row r="103" spans="1:33" ht="14.5">
      <c r="A103" t="s">
        <v>11</v>
      </c>
      <c r="C103" s="31"/>
      <c r="D103" t="s">
        <v>281</v>
      </c>
      <c r="E103" t="s">
        <v>561</v>
      </c>
      <c r="F103" s="59" t="str">
        <f ca="1">E103</f>
        <v>Mecca Doncaster</v>
      </c>
      <c r="G103" s="31"/>
      <c r="H103" s="64">
        <v>363</v>
      </c>
      <c r="I103" s="94">
        <v>5.0499999999999998</v>
      </c>
      <c r="J103" s="64">
        <v>466.80000000000001</v>
      </c>
      <c r="K103" s="94">
        <v>-0.020973154362416108</v>
      </c>
      <c r="L103" s="64">
        <v>339</v>
      </c>
      <c r="M103" s="94">
        <v>-0.033637400228050202</v>
      </c>
      <c r="N103" s="64">
        <v>394.75</v>
      </c>
      <c r="O103" s="94">
        <v>-0.10284090909090909</v>
      </c>
      <c r="P103" s="64">
        <v>560</v>
      </c>
      <c r="Q103" s="94">
        <v>2.7037037037037042</v>
      </c>
      <c r="R103" s="64">
        <v>712.60000000000002</v>
      </c>
      <c r="S103" s="94">
        <v>1.7219251336898396</v>
      </c>
      <c r="T103" s="64">
        <v>519.79999999999995</v>
      </c>
      <c r="U103" s="94">
        <v>-0.22763744427934629</v>
      </c>
      <c r="V103" s="64">
        <v>390.80000000000001</v>
      </c>
      <c r="W103" s="94">
        <v>0.25780495654972652</v>
      </c>
      <c r="X103" s="64">
        <v>412</v>
      </c>
      <c r="Y103" s="94">
        <v>-0.24236851783744018</v>
      </c>
      <c r="Z103" s="64">
        <v>295.39999999999998</v>
      </c>
      <c r="AA103" s="94">
        <v>0.17408585055643871</v>
      </c>
      <c r="AB103" s="64">
        <v>138</v>
      </c>
      <c r="AC103" s="94">
        <v>-0.2247191011235955</v>
      </c>
      <c r="AD103" s="64">
        <v>300.39999999999998</v>
      </c>
      <c r="AE103" s="94">
        <v>-0.6533379493393342</v>
      </c>
      <c r="AF103" s="95">
        <v>4892.5499999999993</v>
      </c>
      <c r="AG103" s="69">
        <v>0.0091677726282207404</v>
      </c>
    </row>
    <row r="104" spans="1:33" ht="14.5">
      <c r="A104" t="s">
        <v>11</v>
      </c>
      <c r="C104" s="31"/>
      <c r="D104" t="s">
        <v>282</v>
      </c>
      <c r="E104" t="s">
        <v>562</v>
      </c>
      <c r="F104" s="59" t="str">
        <f ca="1">E104</f>
        <v>Mecca Mt Gravatt</v>
      </c>
      <c r="G104" s="31"/>
      <c r="H104" s="64">
        <v>710</v>
      </c>
      <c r="I104" s="94">
        <v>-0.0042075736325385693</v>
      </c>
      <c r="J104" s="64">
        <v>578</v>
      </c>
      <c r="K104" s="94">
        <v>-0.22623828647925034</v>
      </c>
      <c r="L104" s="64">
        <v>436</v>
      </c>
      <c r="M104" s="94">
        <v>-0.30462519936204147</v>
      </c>
      <c r="N104" s="64">
        <v>503</v>
      </c>
      <c r="O104" s="94">
        <v>-0.23416565164433611</v>
      </c>
      <c r="P104" s="64">
        <v>340.60000000000002</v>
      </c>
      <c r="Q104" s="94">
        <v>-0.39929453262786591</v>
      </c>
      <c r="R104" s="64">
        <v>320</v>
      </c>
      <c r="S104" s="94">
        <v>-0.51515151515151514</v>
      </c>
      <c r="T104" s="64">
        <v>266.39999999999998</v>
      </c>
      <c r="U104" s="94">
        <v>-0.56299212598425197</v>
      </c>
      <c r="V104" s="64">
        <v>164</v>
      </c>
      <c r="W104" s="94">
        <v>-0.71898560657984922</v>
      </c>
      <c r="X104" s="64">
        <v>428.60000000000002</v>
      </c>
      <c r="Y104" s="94">
        <v>-0.44163626889004687</v>
      </c>
      <c r="Z104" s="64">
        <v>172</v>
      </c>
      <c r="AA104" s="94">
        <v>-0.73919636087945417</v>
      </c>
      <c r="AB104" s="64">
        <v>139.40000000000001</v>
      </c>
      <c r="AC104" s="94">
        <v>-0.70137103684661517</v>
      </c>
      <c r="AD104" s="64">
        <v>403.19999999999999</v>
      </c>
      <c r="AE104" s="94">
        <v>-0.77489950870924518</v>
      </c>
      <c r="AF104" s="95">
        <v>4461.1999999999998</v>
      </c>
      <c r="AG104" s="69">
        <v>0.0083594990851434056</v>
      </c>
    </row>
    <row r="105" spans="1:33" ht="14.5">
      <c r="A105" t="s">
        <v>11</v>
      </c>
      <c r="C105" s="31"/>
      <c r="D105" t="s">
        <v>283</v>
      </c>
      <c r="E105" t="s">
        <v>563</v>
      </c>
      <c r="F105" s="59" t="str">
        <f ca="1">E105</f>
        <v>Mecca Eastgardens</v>
      </c>
      <c r="G105" s="31"/>
      <c r="H105" s="64">
        <v>525.79999999999995</v>
      </c>
      <c r="I105" s="94">
        <v>2.6769230769230767</v>
      </c>
      <c r="J105" s="64">
        <v>600.79999999999995</v>
      </c>
      <c r="K105" s="94">
        <v>4.1793103448275861</v>
      </c>
      <c r="L105" s="64">
        <v>301.80000000000001</v>
      </c>
      <c r="M105" s="94">
        <v>1.6946428571428573</v>
      </c>
      <c r="N105" s="64">
        <v>161.80000000000001</v>
      </c>
      <c r="O105" s="94">
        <v>0.41929824561403517</v>
      </c>
      <c r="P105" s="64">
        <v>194</v>
      </c>
      <c r="Q105" s="94">
        <v>0.6928446771378709</v>
      </c>
      <c r="R105" s="64">
        <v>212</v>
      </c>
      <c r="S105" s="94">
        <v>-0.6129974443227455</v>
      </c>
      <c r="T105" s="64">
        <v>30</v>
      </c>
      <c r="U105" s="94">
        <v>-0.95669745958429564</v>
      </c>
      <c r="V105" s="64">
        <v>0</v>
      </c>
      <c r="W105" s="94">
        <v>-1</v>
      </c>
      <c r="X105" s="64">
        <v>23</v>
      </c>
      <c r="Y105" s="94">
        <v>-0.95632358526395744</v>
      </c>
      <c r="Z105" s="64">
        <v>0</v>
      </c>
      <c r="AA105" s="94">
        <v>-1</v>
      </c>
      <c r="AB105" s="64">
        <v>0</v>
      </c>
      <c r="AC105" s="94">
        <v>-1</v>
      </c>
      <c r="AD105" s="64">
        <v>80</v>
      </c>
      <c r="AE105" s="94">
        <v>-0.94938630899658361</v>
      </c>
      <c r="AF105" s="95">
        <v>2129.1999999999998</v>
      </c>
      <c r="AG105" s="69">
        <v>0.0039897438922458844</v>
      </c>
    </row>
    <row r="106" spans="1:33" ht="14.5">
      <c r="A106" t="s">
        <v>11</v>
      </c>
      <c r="C106" s="31"/>
      <c r="D106" t="s">
        <v>284</v>
      </c>
      <c r="E106" t="s">
        <v>564</v>
      </c>
      <c r="F106" s="59" t="str">
        <f ca="1">E106</f>
        <v>Mecca Hurstville</v>
      </c>
      <c r="G106" s="31"/>
      <c r="H106" s="64">
        <v>15.6</v>
      </c>
      <c r="I106" s="94">
        <v>-0.95506912442396308</v>
      </c>
      <c r="J106" s="64">
        <v>21</v>
      </c>
      <c r="K106" s="94">
        <v>-0.89186405767250254</v>
      </c>
      <c r="L106" s="64">
        <v>46</v>
      </c>
      <c r="M106" s="94">
        <v>-0.67921896792189684</v>
      </c>
      <c r="N106" s="64">
        <v>31</v>
      </c>
      <c r="O106" s="94">
        <v>-0.70192307692307687</v>
      </c>
      <c r="P106" s="64">
        <v>39</v>
      </c>
      <c r="Q106" s="94">
        <v>-0.74609375</v>
      </c>
      <c r="R106" s="64">
        <v>118.59999999999999</v>
      </c>
      <c r="S106" s="94">
        <v>1.3254901960784313</v>
      </c>
      <c r="T106" s="64">
        <v>36</v>
      </c>
      <c r="U106" s="94">
        <v>2.75</v>
      </c>
      <c r="V106" s="64">
        <v>80.599999999999994</v>
      </c>
      <c r="W106" s="94">
        <v>5.1999999999999993</v>
      </c>
      <c r="X106" s="64">
        <v>14</v>
      </c>
      <c r="Y106" s="94">
        <v>-0.96661897949451603</v>
      </c>
      <c r="Z106" s="64">
        <v>14</v>
      </c>
      <c r="AA106" s="94">
        <v>-0.92513368983957223</v>
      </c>
      <c r="AB106" s="64">
        <v>17.399999999999999</v>
      </c>
      <c r="AC106" s="94">
        <v>0.33846153846153837</v>
      </c>
      <c r="AD106" s="64">
        <v>48</v>
      </c>
      <c r="AE106" s="94">
        <v>-0.84074319840743195</v>
      </c>
      <c r="AF106" s="95">
        <v>481.19999999999993</v>
      </c>
      <c r="AG106" s="69">
        <v>0.00090168361870595498</v>
      </c>
    </row>
    <row r="107" spans="1:33" ht="14.5">
      <c r="A107" t="s">
        <v>11</v>
      </c>
      <c r="C107" s="31"/>
      <c r="D107" t="s">
        <v>285</v>
      </c>
      <c r="E107" t="s">
        <v>565</v>
      </c>
      <c r="F107" s="59" t="str">
        <f ca="1">E107</f>
        <v>Mecca Karrinyup</v>
      </c>
      <c r="G107" s="31"/>
      <c r="H107" s="64">
        <v>2919.3999999999996</v>
      </c>
      <c r="I107" s="94">
        <v>0.565361930294906</v>
      </c>
      <c r="J107" s="64">
        <v>2972</v>
      </c>
      <c r="K107" s="94">
        <v>1.2080237741456166</v>
      </c>
      <c r="L107" s="64">
        <v>2178.5999999999999</v>
      </c>
      <c r="M107" s="94">
        <v>0.1537972672386399</v>
      </c>
      <c r="N107" s="64">
        <v>1704.5999999999999</v>
      </c>
      <c r="O107" s="94">
        <v>-0.048984601651417194</v>
      </c>
      <c r="P107" s="64">
        <v>1543</v>
      </c>
      <c r="Q107" s="94">
        <v>-0.016696405811878694</v>
      </c>
      <c r="R107" s="64">
        <v>2222</v>
      </c>
      <c r="S107" s="94">
        <v>-0.078925551318189388</v>
      </c>
      <c r="T107" s="64">
        <v>1280.8</v>
      </c>
      <c r="U107" s="94">
        <v>-0.50919681177191911</v>
      </c>
      <c r="V107" s="64">
        <v>1063</v>
      </c>
      <c r="W107" s="94">
        <v>-0.2584065857401982</v>
      </c>
      <c r="X107" s="64">
        <v>636.20000000000005</v>
      </c>
      <c r="Y107" s="94">
        <v>-0.7766622200379133</v>
      </c>
      <c r="Z107" s="64">
        <v>307.80000000000001</v>
      </c>
      <c r="AA107" s="94">
        <v>-0.84116007843946738</v>
      </c>
      <c r="AB107" s="64">
        <v>395</v>
      </c>
      <c r="AC107" s="94">
        <v>-0.80802877138413687</v>
      </c>
      <c r="AD107" s="64">
        <v>1668.8000000000002</v>
      </c>
      <c r="AE107" s="94">
        <v>-0.52590909090909077</v>
      </c>
      <c r="AF107" s="95">
        <v>18891.199999999997</v>
      </c>
      <c r="AG107" s="69">
        <v>0.03539876470843295</v>
      </c>
    </row>
    <row r="108" spans="1:33" ht="14.5">
      <c r="A108" t="s">
        <v>11</v>
      </c>
      <c r="C108" s="31"/>
      <c r="D108" t="s">
        <v>286</v>
      </c>
      <c r="E108" t="s">
        <v>566</v>
      </c>
      <c r="F108" s="59" t="str">
        <f ca="1">E108</f>
        <v>Mecca Highpoint</v>
      </c>
      <c r="G108" s="31"/>
      <c r="H108" s="64">
        <v>2033.4000000000001</v>
      </c>
      <c r="I108" s="94">
        <v>0.84519056261343017</v>
      </c>
      <c r="J108" s="64">
        <v>2073.5999999999999</v>
      </c>
      <c r="K108" s="94">
        <v>0.93685783672706902</v>
      </c>
      <c r="L108" s="64">
        <v>1704</v>
      </c>
      <c r="M108" s="94">
        <v>0.012357414448669038</v>
      </c>
      <c r="N108" s="64">
        <v>1806.4000000000001</v>
      </c>
      <c r="O108" s="94">
        <v>0.2662273938034489</v>
      </c>
      <c r="P108" s="64">
        <v>1493.5999999999999</v>
      </c>
      <c r="Q108" s="94">
        <v>0.7823389021479713</v>
      </c>
      <c r="R108" s="64">
        <v>2326.4499999999998</v>
      </c>
      <c r="S108" s="94">
        <v>0.74501200120012012</v>
      </c>
      <c r="T108" s="64">
        <v>2238</v>
      </c>
      <c r="U108" s="94">
        <v>0.73193004178919663</v>
      </c>
      <c r="V108" s="64">
        <v>1749.5999999999999</v>
      </c>
      <c r="W108" s="94">
        <v>0.69223329142083345</v>
      </c>
      <c r="X108" s="64">
        <v>2014.5999999999999</v>
      </c>
      <c r="Y108" s="94">
        <v>0.0031869335723533967</v>
      </c>
      <c r="Z108" s="64">
        <v>1884.3999999999999</v>
      </c>
      <c r="AA108" s="94">
        <v>-0.2201460881080971</v>
      </c>
      <c r="AB108" s="64">
        <v>1468.9000000000001</v>
      </c>
      <c r="AC108" s="94">
        <v>-0.20565650010815484</v>
      </c>
      <c r="AD108" s="64">
        <v>3081.9000000000001</v>
      </c>
      <c r="AE108" s="94">
        <v>-0.1445345028590462</v>
      </c>
      <c r="AF108" s="95">
        <v>23874.850000000006</v>
      </c>
      <c r="AG108" s="69">
        <v>0.044737242610269908</v>
      </c>
    </row>
    <row r="109" spans="1:33" ht="14.5">
      <c r="A109" t="s">
        <v>11</v>
      </c>
      <c r="C109" s="31"/>
      <c r="D109" t="s">
        <v>287</v>
      </c>
      <c r="E109" t="s">
        <v>567</v>
      </c>
      <c r="F109" s="59" t="str">
        <f ca="1">E109</f>
        <v>Mecca Robina</v>
      </c>
      <c r="G109" s="31"/>
      <c r="H109" s="64">
        <v>479.60000000000002</v>
      </c>
      <c r="I109" s="94">
        <v>-0.21247947454844002</v>
      </c>
      <c r="J109" s="64">
        <v>436.30000000000001</v>
      </c>
      <c r="K109" s="94">
        <v>1.371195652173913</v>
      </c>
      <c r="L109" s="64">
        <v>541</v>
      </c>
      <c r="M109" s="94">
        <v>1.4369369369369369</v>
      </c>
      <c r="N109" s="64">
        <v>392</v>
      </c>
      <c r="O109" s="94">
        <v>1.3671497584541064</v>
      </c>
      <c r="P109" s="64">
        <v>381</v>
      </c>
      <c r="Q109" s="94">
        <v>1.2678571428571428</v>
      </c>
      <c r="R109" s="64">
        <v>462.80000000000001</v>
      </c>
      <c r="S109" s="94">
        <v>0.36277974087161363</v>
      </c>
      <c r="T109" s="64">
        <v>565.60000000000002</v>
      </c>
      <c r="U109" s="94">
        <v>0.7286063569682153</v>
      </c>
      <c r="V109" s="64">
        <v>498</v>
      </c>
      <c r="W109" s="94">
        <v>0.54179566563467496</v>
      </c>
      <c r="X109" s="64">
        <v>346</v>
      </c>
      <c r="Y109" s="94">
        <v>-0.00057770075101094354</v>
      </c>
      <c r="Z109" s="64">
        <v>133</v>
      </c>
      <c r="AA109" s="94">
        <v>-0.56818181818181823</v>
      </c>
      <c r="AB109" s="64">
        <v>241</v>
      </c>
      <c r="AC109" s="94">
        <v>0</v>
      </c>
      <c r="AD109" s="64">
        <v>713</v>
      </c>
      <c r="AE109" s="94">
        <v>0.19111259605746739</v>
      </c>
      <c r="AF109" s="95">
        <v>5189.3000000000002</v>
      </c>
      <c r="AG109" s="69">
        <v>0.0097238295979858967</v>
      </c>
    </row>
    <row r="110" spans="1:33" ht="14.5">
      <c r="A110" t="s">
        <v>11</v>
      </c>
      <c r="C110" s="31"/>
      <c r="D110" t="s">
        <v>288</v>
      </c>
      <c r="E110" t="s">
        <v>568</v>
      </c>
      <c r="F110" s="59" t="str">
        <f ca="1">E110</f>
        <v>Mecca Castle Towers</v>
      </c>
      <c r="G110" s="31"/>
      <c r="H110" s="64">
        <v>489</v>
      </c>
      <c r="I110" s="94">
        <v>3.4454545454545453</v>
      </c>
      <c r="J110" s="64">
        <v>261</v>
      </c>
      <c r="K110" s="94">
        <v>4.9589041095890414</v>
      </c>
      <c r="L110" s="64">
        <v>289.60000000000002</v>
      </c>
      <c r="M110" s="94">
        <v>-0.078294080203691815</v>
      </c>
      <c r="N110" s="64">
        <v>281.39999999999998</v>
      </c>
      <c r="O110" s="94">
        <v>-0.34036568213783414</v>
      </c>
      <c r="P110" s="64">
        <v>442</v>
      </c>
      <c r="Q110" s="94">
        <v>-0.098694942903752109</v>
      </c>
      <c r="R110" s="64">
        <v>293</v>
      </c>
      <c r="S110" s="94">
        <v>-0.5032214309935571</v>
      </c>
      <c r="T110" s="64">
        <v>768</v>
      </c>
      <c r="U110" s="94">
        <v>1.1110500274876305</v>
      </c>
      <c r="V110" s="64">
        <v>598</v>
      </c>
      <c r="W110" s="94">
        <v>0.88168659534298299</v>
      </c>
      <c r="X110" s="64">
        <v>552.79999999999995</v>
      </c>
      <c r="Y110" s="94">
        <v>-0.38482083240596487</v>
      </c>
      <c r="Z110" s="64">
        <v>282.39999999999998</v>
      </c>
      <c r="AA110" s="94">
        <v>-0.73043146239022527</v>
      </c>
      <c r="AB110" s="64">
        <v>383</v>
      </c>
      <c r="AC110" s="94">
        <v>2.4692028985507246</v>
      </c>
      <c r="AD110" s="64">
        <v>1820</v>
      </c>
      <c r="AE110" s="94">
        <v>1.693104468777745</v>
      </c>
      <c r="AF110" s="95">
        <v>6460.1999999999998</v>
      </c>
      <c r="AG110" s="69">
        <v>0.012105271225195785</v>
      </c>
    </row>
    <row r="111" spans="1:33" ht="14.5">
      <c r="A111" t="s">
        <v>11</v>
      </c>
      <c r="C111" s="31"/>
      <c r="D111" t="s">
        <v>289</v>
      </c>
      <c r="E111" t="s">
        <v>569</v>
      </c>
      <c r="F111" s="59" t="str">
        <f ca="1">E111</f>
        <v>Mecca George St</v>
      </c>
      <c r="G111" s="31"/>
      <c r="H111" s="64">
        <v>1116.8000000000002</v>
      </c>
      <c r="I111" s="94">
        <v>0.51492132392837808</v>
      </c>
      <c r="J111" s="64">
        <v>531</v>
      </c>
      <c r="K111" s="94">
        <v>0.3368580060422961</v>
      </c>
      <c r="L111" s="64">
        <v>1755.8</v>
      </c>
      <c r="M111" s="94">
        <v>0.57583916711541905</v>
      </c>
      <c r="N111" s="64">
        <v>1155.5999999999999</v>
      </c>
      <c r="O111" s="94">
        <v>0.4598281960586153</v>
      </c>
      <c r="P111" s="64">
        <v>1375.8</v>
      </c>
      <c r="Q111" s="94">
        <v>2.8131929046563191</v>
      </c>
      <c r="R111" s="64">
        <v>1385.5999999999999</v>
      </c>
      <c r="S111" s="94">
        <v>0.64560570071258894</v>
      </c>
      <c r="T111" s="64">
        <v>1784.2</v>
      </c>
      <c r="U111" s="94">
        <v>1.6797837188344851</v>
      </c>
      <c r="V111" s="64">
        <v>1211.5999999999999</v>
      </c>
      <c r="W111" s="94">
        <v>1.5713073005093376</v>
      </c>
      <c r="X111" s="64">
        <v>1437.2</v>
      </c>
      <c r="Y111" s="94">
        <v>1.3913477537437604</v>
      </c>
      <c r="Z111" s="64">
        <v>1353.8000000000002</v>
      </c>
      <c r="AA111" s="94">
        <v>-0.056979660072443393</v>
      </c>
      <c r="AB111" s="64">
        <v>1883</v>
      </c>
      <c r="AC111" s="94">
        <v>4.4359122401847575</v>
      </c>
      <c r="AD111" s="64">
        <v>3671.6999999999998</v>
      </c>
      <c r="AE111" s="94">
        <v>2.4372776633589219</v>
      </c>
      <c r="AF111" s="95">
        <v>18662.100000000002</v>
      </c>
      <c r="AG111" s="69">
        <v>0.034969471863367428</v>
      </c>
    </row>
    <row r="112" spans="1:33" ht="14.5">
      <c r="A112" t="s">
        <v>11</v>
      </c>
      <c r="C112" s="31"/>
      <c r="D112" t="s">
        <v>290</v>
      </c>
      <c r="E112" t="s">
        <v>570</v>
      </c>
      <c r="F112" s="59" t="str">
        <f ca="1">E112</f>
        <v>Mecca Geelong</v>
      </c>
      <c r="G112" s="31"/>
      <c r="H112" s="64">
        <v>422</v>
      </c>
      <c r="I112" s="94">
        <v>0.27878787878787881</v>
      </c>
      <c r="J112" s="64">
        <v>351</v>
      </c>
      <c r="K112" s="94">
        <v>1.3557046979865772</v>
      </c>
      <c r="L112" s="64">
        <v>293</v>
      </c>
      <c r="M112" s="94">
        <v>0.11322188449848029</v>
      </c>
      <c r="N112" s="64">
        <v>280</v>
      </c>
      <c r="O112" s="94">
        <v>2.1111111111111112</v>
      </c>
      <c r="P112" s="64">
        <v>144</v>
      </c>
      <c r="Q112" s="94">
        <v>1.7906976744186047</v>
      </c>
      <c r="R112" s="64">
        <v>223.5</v>
      </c>
      <c r="S112" s="94">
        <v>0.40037593984962411</v>
      </c>
      <c r="T112" s="64">
        <v>18</v>
      </c>
      <c r="U112" s="94">
        <v>-0.93023255813953487</v>
      </c>
      <c r="V112" s="64">
        <v>0</v>
      </c>
      <c r="W112" s="94">
        <v>-1</v>
      </c>
      <c r="X112" s="64">
        <v>15</v>
      </c>
      <c r="Y112" s="94">
        <v>-0.94296577946768056</v>
      </c>
      <c r="Z112" s="64">
        <v>0</v>
      </c>
      <c r="AA112" s="94">
        <v>-1</v>
      </c>
      <c r="AB112" s="64">
        <v>0</v>
      </c>
      <c r="AC112" s="94">
        <v>-1</v>
      </c>
      <c r="AD112" s="64">
        <v>6</v>
      </c>
      <c r="AE112" s="94">
        <v>-0.9915492957746479</v>
      </c>
      <c r="AF112" s="95">
        <v>1752.5</v>
      </c>
      <c r="AG112" s="69">
        <v>0.0032838747751084505</v>
      </c>
    </row>
    <row r="113" spans="1:33" ht="14.5">
      <c r="A113" t="s">
        <v>11</v>
      </c>
      <c r="C113" s="31"/>
      <c r="D113" t="s">
        <v>291</v>
      </c>
      <c r="E113" t="s">
        <v>571</v>
      </c>
      <c r="F113" s="59" t="str">
        <f ca="1">E113</f>
        <v>Mecca Casuarina Square</v>
      </c>
      <c r="G113" s="31"/>
      <c r="H113" s="64">
        <v>160</v>
      </c>
      <c r="I113" s="94">
        <v>0</v>
      </c>
      <c r="J113" s="64">
        <v>64</v>
      </c>
      <c r="K113" s="94">
        <v>0</v>
      </c>
      <c r="L113" s="64">
        <v>144</v>
      </c>
      <c r="M113" s="94">
        <v>0</v>
      </c>
      <c r="N113" s="64">
        <v>112</v>
      </c>
      <c r="O113" s="94">
        <v>0</v>
      </c>
      <c r="P113" s="64">
        <v>160</v>
      </c>
      <c r="Q113" s="94">
        <v>0</v>
      </c>
      <c r="R113" s="64">
        <v>162</v>
      </c>
      <c r="S113" s="94">
        <v>0.012500000000000001</v>
      </c>
      <c r="T113" s="64">
        <v>108</v>
      </c>
      <c r="U113" s="94">
        <v>-0.035714285714285712</v>
      </c>
      <c r="V113" s="64">
        <v>72</v>
      </c>
      <c r="W113" s="94">
        <v>-0.10000000000000001</v>
      </c>
      <c r="X113" s="64">
        <v>105</v>
      </c>
      <c r="Y113" s="94">
        <v>3.1015625</v>
      </c>
      <c r="Z113" s="64">
        <v>34</v>
      </c>
      <c r="AA113" s="94">
        <v>0</v>
      </c>
      <c r="AB113" s="64">
        <v>85</v>
      </c>
      <c r="AC113" s="94">
        <v>1.65625</v>
      </c>
      <c r="AD113" s="64">
        <v>316.19999999999999</v>
      </c>
      <c r="AE113" s="94">
        <v>0.70366379310344829</v>
      </c>
      <c r="AF113" s="95">
        <v>1522.2</v>
      </c>
      <c r="AG113" s="69">
        <v>0.0028523333424650974</v>
      </c>
    </row>
    <row r="114" spans="1:33" ht="14.5">
      <c r="A114" t="s">
        <v>11</v>
      </c>
      <c r="C114" s="31"/>
      <c r="D114" t="s">
        <v>292</v>
      </c>
      <c r="E114" t="s">
        <v>572</v>
      </c>
      <c r="F114" s="59" t="str">
        <f ca="1">E114</f>
        <v>Mecca Eastland</v>
      </c>
      <c r="G114" s="31"/>
      <c r="H114" s="64">
        <v>1087.5999999999999</v>
      </c>
      <c r="I114" s="94">
        <v>1.5269516728624535</v>
      </c>
      <c r="J114" s="64">
        <v>1048.8</v>
      </c>
      <c r="K114" s="94">
        <v>0.718780727630285</v>
      </c>
      <c r="L114" s="64">
        <v>1306</v>
      </c>
      <c r="M114" s="94">
        <v>0.13328705310656036</v>
      </c>
      <c r="N114" s="64">
        <v>1047</v>
      </c>
      <c r="O114" s="94">
        <v>0.39488409272581931</v>
      </c>
      <c r="P114" s="64">
        <v>657</v>
      </c>
      <c r="Q114" s="94">
        <v>1.3548387096774193</v>
      </c>
      <c r="R114" s="64">
        <v>1111.2</v>
      </c>
      <c r="S114" s="94">
        <v>0.53438276719138356</v>
      </c>
      <c r="T114" s="64">
        <v>964</v>
      </c>
      <c r="U114" s="94">
        <v>0.51144559423016633</v>
      </c>
      <c r="V114" s="64">
        <v>837</v>
      </c>
      <c r="W114" s="94">
        <v>0.18153585544889897</v>
      </c>
      <c r="X114" s="64">
        <v>615.29999999999995</v>
      </c>
      <c r="Y114" s="94">
        <v>-0.47785132382892065</v>
      </c>
      <c r="Z114" s="64">
        <v>540</v>
      </c>
      <c r="AA114" s="94">
        <v>-0.53600274961333561</v>
      </c>
      <c r="AB114" s="64">
        <v>402.39999999999998</v>
      </c>
      <c r="AC114" s="94">
        <v>-0.30500863557858382</v>
      </c>
      <c r="AD114" s="64">
        <v>890.39999999999998</v>
      </c>
      <c r="AE114" s="94">
        <v>-0.3377956269522534</v>
      </c>
      <c r="AF114" s="95">
        <v>10506.699999999999</v>
      </c>
      <c r="AG114" s="69">
        <v>0.019687695919904109</v>
      </c>
    </row>
    <row r="115" spans="1:33" ht="14.5">
      <c r="A115" t="s">
        <v>11</v>
      </c>
      <c r="C115" s="31"/>
      <c r="D115" t="s">
        <v>293</v>
      </c>
      <c r="E115" t="s">
        <v>573</v>
      </c>
      <c r="F115" s="59" t="str">
        <f ca="1">E115</f>
        <v>Mecca Broadway</v>
      </c>
      <c r="G115" s="31"/>
      <c r="H115" s="64">
        <v>-14</v>
      </c>
      <c r="I115" s="94">
        <v>-1.0804597701149425</v>
      </c>
      <c r="J115" s="64">
        <v>0</v>
      </c>
      <c r="K115" s="94">
        <v>-1</v>
      </c>
      <c r="L115" s="64">
        <v>5</v>
      </c>
      <c r="M115" s="94">
        <v>-0.970291146761735</v>
      </c>
      <c r="N115" s="64">
        <v>88</v>
      </c>
      <c r="O115" s="94">
        <v>0.12820512820512819</v>
      </c>
      <c r="P115" s="64">
        <v>47</v>
      </c>
      <c r="Q115" s="94">
        <v>0.34285714285714286</v>
      </c>
      <c r="R115" s="64">
        <v>46</v>
      </c>
      <c r="S115" s="94">
        <v>-0.81673306772908372</v>
      </c>
      <c r="T115" s="64">
        <v>22.199999999999999</v>
      </c>
      <c r="U115" s="94">
        <v>0.84999999999999998</v>
      </c>
      <c r="V115" s="64">
        <v>43.600000000000001</v>
      </c>
      <c r="W115" s="94">
        <v>0</v>
      </c>
      <c r="X115" s="64">
        <v>49</v>
      </c>
      <c r="Y115" s="94">
        <v>0.088888888888888892</v>
      </c>
      <c r="Z115" s="64">
        <v>0</v>
      </c>
      <c r="AA115" s="94">
        <v>-1</v>
      </c>
      <c r="AB115" s="64">
        <v>0</v>
      </c>
      <c r="AC115" s="94">
        <v>-1</v>
      </c>
      <c r="AD115" s="64">
        <v>57</v>
      </c>
      <c r="AE115" s="94">
        <v>0</v>
      </c>
      <c r="AF115" s="95">
        <v>343.79999999999995</v>
      </c>
      <c r="AG115" s="69">
        <v>0.00064422034104552649</v>
      </c>
    </row>
    <row r="116" spans="1:33" ht="14.5">
      <c r="A116" t="s">
        <v>11</v>
      </c>
      <c r="C116" s="31"/>
      <c r="D116" t="s">
        <v>294</v>
      </c>
      <c r="E116" t="s">
        <v>574</v>
      </c>
      <c r="F116" s="59" t="str">
        <f ca="1">E116</f>
        <v>Mecca Sorrento</v>
      </c>
      <c r="G116" s="31"/>
      <c r="H116" s="64">
        <v>61</v>
      </c>
      <c r="I116" s="94">
        <v>-0.67894736842105263</v>
      </c>
      <c r="J116" s="64">
        <v>10</v>
      </c>
      <c r="K116" s="94">
        <v>-0.90825688073394495</v>
      </c>
      <c r="L116" s="64">
        <v>0</v>
      </c>
      <c r="M116" s="94">
        <v>-1</v>
      </c>
      <c r="N116" s="64">
        <v>5</v>
      </c>
      <c r="O116" s="94">
        <v>-0.95370370370370372</v>
      </c>
      <c r="P116" s="64">
        <v>56.600000000000001</v>
      </c>
      <c r="Q116" s="94">
        <v>0.88666666666666671</v>
      </c>
      <c r="R116" s="64">
        <v>18</v>
      </c>
      <c r="S116" s="94">
        <v>-0.69999999999999996</v>
      </c>
      <c r="T116" s="64">
        <v>0</v>
      </c>
      <c r="U116" s="94">
        <v>-1</v>
      </c>
      <c r="V116" s="64">
        <v>6</v>
      </c>
      <c r="W116" s="94">
        <v>0</v>
      </c>
      <c r="X116" s="64">
        <v>0</v>
      </c>
      <c r="Y116" s="94">
        <v>-1</v>
      </c>
      <c r="Z116" s="64">
        <v>0</v>
      </c>
      <c r="AA116" s="94">
        <v>-1</v>
      </c>
      <c r="AB116" s="64">
        <v>0</v>
      </c>
      <c r="AC116" s="94">
        <v>0</v>
      </c>
      <c r="AD116" s="64">
        <v>0</v>
      </c>
      <c r="AE116" s="94">
        <v>-1</v>
      </c>
      <c r="AF116" s="95">
        <v>156.59999999999999</v>
      </c>
      <c r="AG116" s="69">
        <v>0.00029344067890555396</v>
      </c>
    </row>
    <row r="117" spans="1:33" ht="14.5">
      <c r="A117" t="s">
        <v>11</v>
      </c>
      <c r="C117" s="31"/>
      <c r="D117" t="s">
        <v>295</v>
      </c>
      <c r="E117" t="s">
        <v>575</v>
      </c>
      <c r="F117" s="59" t="str">
        <f ca="1">E117</f>
        <v>Mecca Northland</v>
      </c>
      <c r="G117" s="31"/>
      <c r="H117" s="64">
        <v>493.60000000000002</v>
      </c>
      <c r="I117" s="94">
        <v>0.76917562724014343</v>
      </c>
      <c r="J117" s="64">
        <v>713.60000000000002</v>
      </c>
      <c r="K117" s="94">
        <v>2.7166666666666668</v>
      </c>
      <c r="L117" s="64">
        <v>814.79999999999995</v>
      </c>
      <c r="M117" s="94">
        <v>1.9955882352941174</v>
      </c>
      <c r="N117" s="64">
        <v>852.60000000000002</v>
      </c>
      <c r="O117" s="94">
        <v>5.7133858267716535</v>
      </c>
      <c r="P117" s="64">
        <v>385.80000000000001</v>
      </c>
      <c r="Q117" s="94">
        <v>1.5117187500000002</v>
      </c>
      <c r="R117" s="64">
        <v>297</v>
      </c>
      <c r="S117" s="94">
        <v>0.087912087912087919</v>
      </c>
      <c r="T117" s="64">
        <v>346.80000000000001</v>
      </c>
      <c r="U117" s="94">
        <v>0.098859315589353569</v>
      </c>
      <c r="V117" s="64">
        <v>493</v>
      </c>
      <c r="W117" s="94">
        <v>1.7102803738317758</v>
      </c>
      <c r="X117" s="64">
        <v>753.60000000000002</v>
      </c>
      <c r="Y117" s="94">
        <v>1.3848101265822785</v>
      </c>
      <c r="Z117" s="64">
        <v>733.39999999999998</v>
      </c>
      <c r="AA117" s="94">
        <v>0.34322344322344317</v>
      </c>
      <c r="AB117" s="64">
        <v>507</v>
      </c>
      <c r="AC117" s="94">
        <v>1.4901768172888015</v>
      </c>
      <c r="AD117" s="64">
        <v>1056.4000000000001</v>
      </c>
      <c r="AE117" s="94">
        <v>1.2457482993197282</v>
      </c>
      <c r="AF117" s="95">
        <v>7447.6000000000004</v>
      </c>
      <c r="AG117" s="69">
        <v>0.013955484037145619</v>
      </c>
    </row>
    <row r="118" spans="1:33" ht="14.5">
      <c r="A118" t="s">
        <v>11</v>
      </c>
      <c r="C118" s="31"/>
      <c r="D118" t="s">
        <v>296</v>
      </c>
      <c r="E118" t="s">
        <v>576</v>
      </c>
      <c r="F118" s="59" t="str">
        <f ca="1">E118</f>
        <v>Mecca Bourke Street</v>
      </c>
      <c r="G118" s="31"/>
      <c r="H118" s="64">
        <v>0</v>
      </c>
      <c r="I118" s="94">
        <v>0</v>
      </c>
      <c r="J118" s="64">
        <v>0</v>
      </c>
      <c r="K118" s="94">
        <v>0</v>
      </c>
      <c r="L118" s="64">
        <v>0</v>
      </c>
      <c r="M118" s="94">
        <v>0</v>
      </c>
      <c r="N118" s="64">
        <v>0</v>
      </c>
      <c r="O118" s="94">
        <v>0</v>
      </c>
      <c r="P118" s="64">
        <v>0</v>
      </c>
      <c r="Q118" s="94">
        <v>0</v>
      </c>
      <c r="R118" s="64">
        <v>0</v>
      </c>
      <c r="S118" s="94">
        <v>0</v>
      </c>
      <c r="T118" s="64">
        <v>0</v>
      </c>
      <c r="U118" s="94">
        <v>0</v>
      </c>
      <c r="V118" s="64">
        <v>1095.8</v>
      </c>
      <c r="W118" s="94">
        <v>0</v>
      </c>
      <c r="X118" s="64">
        <v>2396.8000000000002</v>
      </c>
      <c r="Y118" s="94">
        <v>0</v>
      </c>
      <c r="Z118" s="64">
        <v>1205.2</v>
      </c>
      <c r="AA118" s="94">
        <v>0</v>
      </c>
      <c r="AB118" s="64">
        <v>1320.5999999999999</v>
      </c>
      <c r="AC118" s="94">
        <v>0</v>
      </c>
      <c r="AD118" s="64">
        <v>1671.1999999999998</v>
      </c>
      <c r="AE118" s="94">
        <v>0</v>
      </c>
      <c r="AF118" s="95">
        <v>7689.5999999999995</v>
      </c>
      <c r="AG118" s="69">
        <v>0.014408949198672718</v>
      </c>
    </row>
    <row r="119" spans="1:33" ht="14.5">
      <c r="A119" t="s">
        <v>11</v>
      </c>
      <c r="C119" s="31"/>
      <c r="D119" t="s">
        <v>297</v>
      </c>
      <c r="E119" t="s">
        <v>577</v>
      </c>
      <c r="F119" s="59" t="str">
        <f ca="1">E119</f>
        <v>Mecca Newmarket</v>
      </c>
      <c r="G119" s="31"/>
      <c r="H119" s="64">
        <v>1703.4400000000001</v>
      </c>
      <c r="I119" s="94">
        <v>0.67686174139882882</v>
      </c>
      <c r="J119" s="64">
        <v>1261.27</v>
      </c>
      <c r="K119" s="94">
        <v>0.6693402157368803</v>
      </c>
      <c r="L119" s="64">
        <v>1714.3799999999999</v>
      </c>
      <c r="M119" s="94">
        <v>0.16424113600402024</v>
      </c>
      <c r="N119" s="64">
        <v>1725.0099999999998</v>
      </c>
      <c r="O119" s="94">
        <v>0.95905874870816421</v>
      </c>
      <c r="P119" s="64">
        <v>1055.05</v>
      </c>
      <c r="Q119" s="94">
        <v>0.50656861345137805</v>
      </c>
      <c r="R119" s="64">
        <v>1256.8299999999999</v>
      </c>
      <c r="S119" s="94">
        <v>0.38350358856941552</v>
      </c>
      <c r="T119" s="64">
        <v>721.03999999999996</v>
      </c>
      <c r="U119" s="94">
        <v>0.54567086111170648</v>
      </c>
      <c r="V119" s="64">
        <v>645.49000000000001</v>
      </c>
      <c r="W119" s="94">
        <v>-0.23921268194943715</v>
      </c>
      <c r="X119" s="64">
        <v>721.7299999999999</v>
      </c>
      <c r="Y119" s="94">
        <v>-0.63192815324044804</v>
      </c>
      <c r="Z119" s="64">
        <v>385.78999999999996</v>
      </c>
      <c r="AA119" s="94">
        <v>-0.70348251823499119</v>
      </c>
      <c r="AB119" s="64">
        <v>346.00999999999999</v>
      </c>
      <c r="AC119" s="94">
        <v>-0.76464306363296264</v>
      </c>
      <c r="AD119" s="64">
        <v>618.94000000000005</v>
      </c>
      <c r="AE119" s="94">
        <v>-0.68950692531892588</v>
      </c>
      <c r="AF119" s="95">
        <v>12154.98</v>
      </c>
      <c r="AG119" s="69">
        <v>0.022776280863878867</v>
      </c>
    </row>
    <row r="120" spans="1:33" ht="14.5">
      <c r="A120" t="s">
        <v>11</v>
      </c>
      <c r="C120" s="31"/>
      <c r="D120" t="s">
        <v>298</v>
      </c>
      <c r="E120" t="s">
        <v>578</v>
      </c>
      <c r="F120" s="59" t="str">
        <f ca="1">E120</f>
        <v>Mecca Wellington</v>
      </c>
      <c r="G120" s="31"/>
      <c r="H120" s="64">
        <v>394.39999999999998</v>
      </c>
      <c r="I120" s="94">
        <v>-0.18255678991875318</v>
      </c>
      <c r="J120" s="64">
        <v>503.88999999999999</v>
      </c>
      <c r="K120" s="94">
        <v>-0.41526446491981345</v>
      </c>
      <c r="L120" s="64">
        <v>214.75</v>
      </c>
      <c r="M120" s="94">
        <v>-0.7976938512119528</v>
      </c>
      <c r="N120" s="64">
        <v>125.04000000000001</v>
      </c>
      <c r="O120" s="94">
        <v>-0.85644746509919178</v>
      </c>
      <c r="P120" s="64">
        <v>356.04999999999995</v>
      </c>
      <c r="Q120" s="94">
        <v>-0.4865231248467719</v>
      </c>
      <c r="R120" s="64">
        <v>578.41999999999996</v>
      </c>
      <c r="S120" s="94">
        <v>-0.53053754190034819</v>
      </c>
      <c r="T120" s="64">
        <v>732.3900000000001</v>
      </c>
      <c r="U120" s="94">
        <v>-0.20581442002190412</v>
      </c>
      <c r="V120" s="64">
        <v>324.77999999999997</v>
      </c>
      <c r="W120" s="94">
        <v>-0.61471024378670147</v>
      </c>
      <c r="X120" s="64">
        <v>502.46999999999991</v>
      </c>
      <c r="Y120" s="94">
        <v>-0.52305151351197443</v>
      </c>
      <c r="Z120" s="64">
        <v>270.52999999999997</v>
      </c>
      <c r="AA120" s="94">
        <v>-0.75056473994301898</v>
      </c>
      <c r="AB120" s="64">
        <v>70.329999999999998</v>
      </c>
      <c r="AC120" s="94">
        <v>-0.64730956321147393</v>
      </c>
      <c r="AD120" s="64">
        <v>235.00999999999999</v>
      </c>
      <c r="AE120" s="94">
        <v>-0.27842426847615831</v>
      </c>
      <c r="AF120" s="95">
        <v>4308.0599999999995</v>
      </c>
      <c r="AG120" s="69">
        <v>0.0080725418337539</v>
      </c>
    </row>
    <row r="121" spans="1:33" ht="14.5">
      <c r="A121" t="s">
        <v>11</v>
      </c>
      <c r="C121" s="31"/>
      <c r="D121" t="s">
        <v>299</v>
      </c>
      <c r="E121" t="s">
        <v>579</v>
      </c>
      <c r="F121" s="59" t="str">
        <f ca="1">E121</f>
        <v>Mecca Auckland</v>
      </c>
      <c r="G121" s="31"/>
      <c r="H121" s="64">
        <v>389.5</v>
      </c>
      <c r="I121" s="94">
        <v>0.78522321019341823</v>
      </c>
      <c r="J121" s="64">
        <v>204.80000000000001</v>
      </c>
      <c r="K121" s="94">
        <v>-0.26794395195882176</v>
      </c>
      <c r="L121" s="64">
        <v>333.85000000000002</v>
      </c>
      <c r="M121" s="94">
        <v>-0.10835425458041768</v>
      </c>
      <c r="N121" s="64">
        <v>251.95999999999998</v>
      </c>
      <c r="O121" s="94">
        <v>-0.09872657032479619</v>
      </c>
      <c r="P121" s="64">
        <v>189.19999999999999</v>
      </c>
      <c r="Q121" s="94">
        <v>-0.079453121198851812</v>
      </c>
      <c r="R121" s="64">
        <v>236.57999999999998</v>
      </c>
      <c r="S121" s="94">
        <v>-0.012480694577785237</v>
      </c>
      <c r="T121" s="64">
        <v>124.89</v>
      </c>
      <c r="U121" s="94">
        <v>-0.52446407493431824</v>
      </c>
      <c r="V121" s="64">
        <v>164.89000000000001</v>
      </c>
      <c r="W121" s="94">
        <v>-0.31278652996582473</v>
      </c>
      <c r="X121" s="64">
        <v>99.939999999999998</v>
      </c>
      <c r="Y121" s="94">
        <v>-0.49809160305343514</v>
      </c>
      <c r="Z121" s="64">
        <v>-24.98</v>
      </c>
      <c r="AA121" s="94">
        <v>-1.0889411094495478</v>
      </c>
      <c r="AB121" s="64">
        <v>69.390000000000001</v>
      </c>
      <c r="AC121" s="94">
        <v>-0.77140504035578983</v>
      </c>
      <c r="AD121" s="64">
        <v>58.290000000000006</v>
      </c>
      <c r="AE121" s="94">
        <v>-0.87103411655382978</v>
      </c>
      <c r="AF121" s="95">
        <v>2098.3100000000004</v>
      </c>
      <c r="AG121" s="69">
        <v>0.0039318615003468265</v>
      </c>
    </row>
    <row r="122" spans="1:33" ht="14.5">
      <c r="A122" t="s">
        <v>11</v>
      </c>
      <c r="C122" s="31"/>
      <c r="D122" t="s">
        <v>300</v>
      </c>
      <c r="E122" t="s">
        <v>580</v>
      </c>
      <c r="F122" s="59" t="str">
        <f ca="1">E122</f>
        <v>Mecca Commercial Bay</v>
      </c>
      <c r="G122" s="31"/>
      <c r="H122" s="64">
        <v>421.15999999999997</v>
      </c>
      <c r="I122" s="94">
        <v>0.43310194637266902</v>
      </c>
      <c r="J122" s="64">
        <v>308.12</v>
      </c>
      <c r="K122" s="94">
        <v>1.7701159759057807</v>
      </c>
      <c r="L122" s="64">
        <v>422.67999999999995</v>
      </c>
      <c r="M122" s="94">
        <v>1.1337775758493611</v>
      </c>
      <c r="N122" s="64">
        <v>302.70999999999992</v>
      </c>
      <c r="O122" s="94">
        <v>2.5925706147638254</v>
      </c>
      <c r="P122" s="64">
        <v>360.58000000000004</v>
      </c>
      <c r="Q122" s="94">
        <v>15.155017921146955</v>
      </c>
      <c r="R122" s="64">
        <v>348.14999999999998</v>
      </c>
      <c r="S122" s="94">
        <v>0.54692082111436935</v>
      </c>
      <c r="T122" s="64">
        <v>574.88</v>
      </c>
      <c r="U122" s="94">
        <v>8.658602150537634</v>
      </c>
      <c r="V122" s="64">
        <v>299.76999999999998</v>
      </c>
      <c r="W122" s="94">
        <v>0.33195592286501369</v>
      </c>
      <c r="X122" s="64">
        <v>111.04000000000001</v>
      </c>
      <c r="Y122" s="94">
        <v>-0.56103731815306768</v>
      </c>
      <c r="Z122" s="64">
        <v>136.94999999999999</v>
      </c>
      <c r="AA122" s="94">
        <v>-0.42746655518394655</v>
      </c>
      <c r="AB122" s="64">
        <v>104.56</v>
      </c>
      <c r="AC122" s="94">
        <v>-0.66578232379734692</v>
      </c>
      <c r="AD122" s="64">
        <v>345.13999999999999</v>
      </c>
      <c r="AE122" s="94">
        <v>-0.21724536774544706</v>
      </c>
      <c r="AF122" s="95">
        <v>3735.7399999999998</v>
      </c>
      <c r="AG122" s="69">
        <v>0.007000115464972121</v>
      </c>
    </row>
    <row r="123" spans="1:33" ht="14.5">
      <c r="A123" t="s">
        <v>11</v>
      </c>
      <c r="C123" s="31"/>
      <c r="D123" t="s">
        <v>301</v>
      </c>
      <c r="E123" t="s">
        <v>581</v>
      </c>
      <c r="F123" s="59" t="str">
        <f ca="1">E123</f>
        <v>Mecca Sylvia Park</v>
      </c>
      <c r="G123" s="31"/>
      <c r="H123" s="64">
        <v>719.40000000000009</v>
      </c>
      <c r="I123" s="94">
        <v>1.0292226108541129</v>
      </c>
      <c r="J123" s="64">
        <v>460.39999999999998</v>
      </c>
      <c r="K123" s="94">
        <v>0.71171506115923688</v>
      </c>
      <c r="L123" s="64">
        <v>626.21000000000004</v>
      </c>
      <c r="M123" s="94">
        <v>0.1867230139478471</v>
      </c>
      <c r="N123" s="64">
        <v>613.67999999999995</v>
      </c>
      <c r="O123" s="94">
        <v>0.41907734998265667</v>
      </c>
      <c r="P123" s="64">
        <v>351.52999999999997</v>
      </c>
      <c r="Q123" s="94">
        <v>0.80336531062432648</v>
      </c>
      <c r="R123" s="64">
        <v>424.64999999999998</v>
      </c>
      <c r="S123" s="94">
        <v>-0.22921242263082423</v>
      </c>
      <c r="T123" s="64">
        <v>327.43000000000001</v>
      </c>
      <c r="U123" s="94">
        <v>-0.30693844721022784</v>
      </c>
      <c r="V123" s="64">
        <v>235.97</v>
      </c>
      <c r="W123" s="94">
        <v>-0.6442377276564949</v>
      </c>
      <c r="X123" s="64">
        <v>242.44</v>
      </c>
      <c r="Y123" s="94">
        <v>-0.55208217862025644</v>
      </c>
      <c r="Z123" s="64">
        <v>83.280000000000001</v>
      </c>
      <c r="AA123" s="94">
        <v>-0.89107460500156954</v>
      </c>
      <c r="AB123" s="64">
        <v>222.08000000000001</v>
      </c>
      <c r="AC123" s="94">
        <v>-0.63148811894331602</v>
      </c>
      <c r="AD123" s="64">
        <v>726.61000000000001</v>
      </c>
      <c r="AE123" s="94">
        <v>-0.59759980949110858</v>
      </c>
      <c r="AF123" s="95">
        <v>5033.6800000000003</v>
      </c>
      <c r="AG123" s="69">
        <v>0.0094322252656022284</v>
      </c>
    </row>
    <row r="124" spans="1:33" ht="14.5">
      <c r="A124" t="s">
        <v>11</v>
      </c>
      <c r="C124" s="31"/>
      <c r="D124" t="s">
        <v>302</v>
      </c>
      <c r="E124" t="s">
        <v>582</v>
      </c>
      <c r="F124" s="59" t="str">
        <f ca="1">E124</f>
        <v>Mecca Christchurch</v>
      </c>
      <c r="G124" s="31"/>
      <c r="H124" s="64">
        <v>1281.02</v>
      </c>
      <c r="I124" s="94">
        <v>0</v>
      </c>
      <c r="J124" s="64">
        <v>845.46000000000004</v>
      </c>
      <c r="K124" s="94">
        <v>0</v>
      </c>
      <c r="L124" s="64">
        <v>761.5100000000001</v>
      </c>
      <c r="M124" s="94">
        <v>0</v>
      </c>
      <c r="N124" s="64">
        <v>781.06999999999994</v>
      </c>
      <c r="O124" s="94">
        <v>0</v>
      </c>
      <c r="P124" s="64">
        <v>783.84000000000003</v>
      </c>
      <c r="Q124" s="94">
        <v>0</v>
      </c>
      <c r="R124" s="64">
        <v>1377.6900000000001</v>
      </c>
      <c r="S124" s="94">
        <v>0</v>
      </c>
      <c r="T124" s="64">
        <v>892.34000000000003</v>
      </c>
      <c r="U124" s="94">
        <v>4.1145755717315309</v>
      </c>
      <c r="V124" s="64">
        <v>311.08000000000004</v>
      </c>
      <c r="W124" s="94">
        <v>-0.24254303732742458</v>
      </c>
      <c r="X124" s="64">
        <v>586.55999999999995</v>
      </c>
      <c r="Y124" s="94">
        <v>0.17580082588301313</v>
      </c>
      <c r="Z124" s="64">
        <v>321.90999999999997</v>
      </c>
      <c r="AA124" s="94">
        <v>-0.56184837348577654</v>
      </c>
      <c r="AB124" s="64">
        <v>498.42000000000002</v>
      </c>
      <c r="AC124" s="94">
        <v>-0.34354503068777492</v>
      </c>
      <c r="AD124" s="64">
        <v>725.08999999999992</v>
      </c>
      <c r="AE124" s="94">
        <v>-0.58028328808673457</v>
      </c>
      <c r="AF124" s="95">
        <v>9165.9899999999998</v>
      </c>
      <c r="AG124" s="69">
        <v>0.017175442710354524</v>
      </c>
    </row>
    <row r="125" spans="1:33" ht="14.5">
      <c r="A125" t="s">
        <v>11</v>
      </c>
      <c r="C125" s="31"/>
      <c r="D125" t="s">
        <v>303</v>
      </c>
      <c r="E125" t="s">
        <v>583</v>
      </c>
      <c r="F125" s="59" t="str">
        <f ca="1">E125</f>
        <v>Mecca Hamilton</v>
      </c>
      <c r="G125" s="31"/>
      <c r="H125" s="64">
        <v>533.00999999999999</v>
      </c>
      <c r="I125" s="94">
        <v>0</v>
      </c>
      <c r="J125" s="64">
        <v>530.16999999999996</v>
      </c>
      <c r="K125" s="94">
        <v>0.37699340294010675</v>
      </c>
      <c r="L125" s="64">
        <v>521.87999999999988</v>
      </c>
      <c r="M125" s="94">
        <v>1.1450943318673181</v>
      </c>
      <c r="N125" s="64">
        <v>560.20999999999992</v>
      </c>
      <c r="O125" s="94">
        <v>1.9968972342588136</v>
      </c>
      <c r="P125" s="64">
        <v>429.63999999999999</v>
      </c>
      <c r="Q125" s="94">
        <v>0.91529957203994294</v>
      </c>
      <c r="R125" s="64">
        <v>351.61000000000001</v>
      </c>
      <c r="S125" s="94">
        <v>-0.13507330512643898</v>
      </c>
      <c r="T125" s="64">
        <v>421.47000000000003</v>
      </c>
      <c r="U125" s="94">
        <v>-0.080382274006676538</v>
      </c>
      <c r="V125" s="64">
        <v>344.12</v>
      </c>
      <c r="W125" s="94">
        <v>0.2366851146409833</v>
      </c>
      <c r="X125" s="64">
        <v>238.68000000000001</v>
      </c>
      <c r="Y125" s="94">
        <v>-0.51540007715266067</v>
      </c>
      <c r="Z125" s="64">
        <v>259.98000000000002</v>
      </c>
      <c r="AA125" s="94">
        <v>-0.1579867858530897</v>
      </c>
      <c r="AB125" s="64">
        <v>328.44999999999993</v>
      </c>
      <c r="AC125" s="94">
        <v>0.2568400107144222</v>
      </c>
      <c r="AD125" s="64">
        <v>1199.98</v>
      </c>
      <c r="AE125" s="94">
        <v>0.24908138941802241</v>
      </c>
      <c r="AF125" s="95">
        <v>5719.1999999999989</v>
      </c>
      <c r="AG125" s="69">
        <v>0.010716768395891724</v>
      </c>
    </row>
    <row r="126" spans="1:33" ht="14.5">
      <c r="A126" t="s">
        <v>11</v>
      </c>
      <c r="C126" s="31"/>
      <c r="D126" t="s">
        <v>304</v>
      </c>
      <c r="E126" t="s">
        <v>584</v>
      </c>
      <c r="F126" s="59" t="str">
        <f ca="1">E126</f>
        <v>Mecca Dunedin</v>
      </c>
      <c r="G126" s="31"/>
      <c r="H126" s="64">
        <v>0</v>
      </c>
      <c r="I126" s="94">
        <v>0</v>
      </c>
      <c r="J126" s="64">
        <v>0</v>
      </c>
      <c r="K126" s="94">
        <v>0</v>
      </c>
      <c r="L126" s="64">
        <v>0</v>
      </c>
      <c r="M126" s="94">
        <v>0</v>
      </c>
      <c r="N126" s="64">
        <v>0</v>
      </c>
      <c r="O126" s="94">
        <v>0</v>
      </c>
      <c r="P126" s="64">
        <v>0</v>
      </c>
      <c r="Q126" s="94">
        <v>0</v>
      </c>
      <c r="R126" s="64">
        <v>0</v>
      </c>
      <c r="S126" s="94">
        <v>0</v>
      </c>
      <c r="T126" s="64">
        <v>47.359999999999999</v>
      </c>
      <c r="U126" s="94">
        <v>0</v>
      </c>
      <c r="V126" s="64">
        <v>88.800000000000011</v>
      </c>
      <c r="W126" s="94">
        <v>0</v>
      </c>
      <c r="X126" s="64">
        <v>107.48999999999999</v>
      </c>
      <c r="Y126" s="94">
        <v>0</v>
      </c>
      <c r="Z126" s="64">
        <v>61.060000000000002</v>
      </c>
      <c r="AA126" s="94">
        <v>0</v>
      </c>
      <c r="AB126" s="64">
        <v>22.899999999999999</v>
      </c>
      <c r="AC126" s="94">
        <v>0</v>
      </c>
      <c r="AD126" s="64">
        <v>91.590000000000003</v>
      </c>
      <c r="AE126" s="94">
        <v>0</v>
      </c>
      <c r="AF126" s="95">
        <v>419.20000000000005</v>
      </c>
      <c r="AG126" s="69">
        <v>0.00078550659385190444</v>
      </c>
    </row>
    <row r="127" spans="1:33" ht="14.5">
      <c r="A127" t="s">
        <v>11</v>
      </c>
      <c r="C127" s="31"/>
      <c r="D127" t="s">
        <v>305</v>
      </c>
      <c r="E127" t="s">
        <v>585</v>
      </c>
      <c r="F127" s="59" t="str">
        <f ca="1">E127</f>
        <v>Mecca Dunedin POP</v>
      </c>
      <c r="G127" s="31"/>
      <c r="H127" s="64">
        <v>0</v>
      </c>
      <c r="I127" s="94">
        <v>0</v>
      </c>
      <c r="J127" s="64">
        <v>0</v>
      </c>
      <c r="K127" s="94">
        <v>0</v>
      </c>
      <c r="L127" s="64">
        <v>0</v>
      </c>
      <c r="M127" s="94">
        <v>0</v>
      </c>
      <c r="N127" s="64">
        <v>0</v>
      </c>
      <c r="O127" s="94">
        <v>0</v>
      </c>
      <c r="P127" s="64">
        <v>0</v>
      </c>
      <c r="Q127" s="94">
        <v>0</v>
      </c>
      <c r="R127" s="64">
        <v>0</v>
      </c>
      <c r="S127" s="94">
        <v>0</v>
      </c>
      <c r="T127" s="64">
        <v>0</v>
      </c>
      <c r="U127" s="94">
        <v>0</v>
      </c>
      <c r="V127" s="64">
        <v>0</v>
      </c>
      <c r="W127" s="94">
        <v>0</v>
      </c>
      <c r="X127" s="64">
        <v>0</v>
      </c>
      <c r="Y127" s="94">
        <v>0</v>
      </c>
      <c r="Z127" s="64">
        <v>0</v>
      </c>
      <c r="AA127" s="94">
        <v>0</v>
      </c>
      <c r="AB127" s="64">
        <v>0</v>
      </c>
      <c r="AC127" s="94">
        <v>0</v>
      </c>
      <c r="AD127" s="64">
        <v>0</v>
      </c>
      <c r="AE127" s="94">
        <v>-1</v>
      </c>
      <c r="AF127" s="95">
        <v>0</v>
      </c>
      <c r="AG127" s="69">
        <v>0</v>
      </c>
    </row>
    <row r="128" spans="1:33" ht="14.5">
      <c r="A128" t="s">
        <v>11</v>
      </c>
      <c r="C128" s="31"/>
      <c r="D128" t="s">
        <v>306</v>
      </c>
      <c r="E128" t="s">
        <v>586</v>
      </c>
      <c r="F128" s="59" t="str">
        <f ca="1">E128</f>
        <v>Mecca Queensgate</v>
      </c>
      <c r="G128" s="31"/>
      <c r="H128" s="64">
        <v>0</v>
      </c>
      <c r="I128" s="94">
        <v>0</v>
      </c>
      <c r="J128" s="64">
        <v>0</v>
      </c>
      <c r="K128" s="94">
        <v>0</v>
      </c>
      <c r="L128" s="64">
        <v>0</v>
      </c>
      <c r="M128" s="94">
        <v>0</v>
      </c>
      <c r="N128" s="64">
        <v>0</v>
      </c>
      <c r="O128" s="94">
        <v>0</v>
      </c>
      <c r="P128" s="64">
        <v>0</v>
      </c>
      <c r="Q128" s="94">
        <v>0</v>
      </c>
      <c r="R128" s="64">
        <v>0</v>
      </c>
      <c r="S128" s="94">
        <v>0</v>
      </c>
      <c r="T128" s="64">
        <v>0</v>
      </c>
      <c r="U128" s="94">
        <v>0</v>
      </c>
      <c r="V128" s="64">
        <v>0</v>
      </c>
      <c r="W128" s="94">
        <v>0</v>
      </c>
      <c r="X128" s="64">
        <v>0</v>
      </c>
      <c r="Y128" s="94">
        <v>0</v>
      </c>
      <c r="Z128" s="64">
        <v>35.159999999999997</v>
      </c>
      <c r="AA128" s="94">
        <v>0</v>
      </c>
      <c r="AB128" s="64">
        <v>52.739999999999995</v>
      </c>
      <c r="AC128" s="94">
        <v>0</v>
      </c>
      <c r="AD128" s="64">
        <v>273.88</v>
      </c>
      <c r="AE128" s="94">
        <v>0</v>
      </c>
      <c r="AF128" s="95">
        <v>361.77999999999997</v>
      </c>
      <c r="AG128" s="69">
        <v>0.00067791167825320122</v>
      </c>
    </row>
    <row r="129" spans="1:33" ht="14.5">
      <c r="A129" t="s">
        <v>11</v>
      </c>
      <c r="C129" s="31"/>
      <c r="D129" t="s">
        <v>307</v>
      </c>
      <c r="E129" t="s">
        <v>587</v>
      </c>
      <c r="F129" s="59" t="str">
        <f ca="1">E129</f>
        <v>Mecca Bayfair</v>
      </c>
      <c r="G129" s="31"/>
      <c r="H129" s="64">
        <v>0</v>
      </c>
      <c r="I129" s="94">
        <v>0</v>
      </c>
      <c r="J129" s="64">
        <v>0</v>
      </c>
      <c r="K129" s="94">
        <v>0</v>
      </c>
      <c r="L129" s="64">
        <v>0</v>
      </c>
      <c r="M129" s="94">
        <v>0</v>
      </c>
      <c r="N129" s="64">
        <v>0</v>
      </c>
      <c r="O129" s="94">
        <v>0</v>
      </c>
      <c r="P129" s="64">
        <v>0</v>
      </c>
      <c r="Q129" s="94">
        <v>0</v>
      </c>
      <c r="R129" s="64">
        <v>0</v>
      </c>
      <c r="S129" s="94">
        <v>0</v>
      </c>
      <c r="T129" s="64">
        <v>0</v>
      </c>
      <c r="U129" s="94">
        <v>0</v>
      </c>
      <c r="V129" s="64">
        <v>0</v>
      </c>
      <c r="W129" s="94">
        <v>0</v>
      </c>
      <c r="X129" s="64">
        <v>0</v>
      </c>
      <c r="Y129" s="94">
        <v>0</v>
      </c>
      <c r="Z129" s="64">
        <v>0</v>
      </c>
      <c r="AA129" s="94">
        <v>0</v>
      </c>
      <c r="AB129" s="64">
        <v>0</v>
      </c>
      <c r="AC129" s="94">
        <v>0</v>
      </c>
      <c r="AD129" s="64">
        <v>341.39999999999998</v>
      </c>
      <c r="AE129" s="94">
        <v>0</v>
      </c>
      <c r="AF129" s="95">
        <v>341.39999999999998</v>
      </c>
      <c r="AG129" s="69">
        <v>0.00063972316588988584</v>
      </c>
    </row>
    <row r="130" spans="1:33" ht="14.5">
      <c r="A130" t="s">
        <v>11</v>
      </c>
      <c r="C130" s="31"/>
      <c r="D130" t="s">
        <v>308</v>
      </c>
      <c r="E130" t="s">
        <v>588</v>
      </c>
      <c r="F130" s="59" t="str">
        <f ca="1">E130</f>
        <v>Mecca Chadstone</v>
      </c>
      <c r="G130" s="31"/>
      <c r="H130" s="64">
        <v>1050.55</v>
      </c>
      <c r="I130" s="94">
        <v>0.05859532446594113</v>
      </c>
      <c r="J130" s="64">
        <v>644.75</v>
      </c>
      <c r="K130" s="94">
        <v>-0.57576654823003026</v>
      </c>
      <c r="L130" s="64">
        <v>878</v>
      </c>
      <c r="M130" s="94">
        <v>-0.24153420870767098</v>
      </c>
      <c r="N130" s="64">
        <v>496</v>
      </c>
      <c r="O130" s="94">
        <v>-0.38553022794846376</v>
      </c>
      <c r="P130" s="64">
        <v>377.60000000000002</v>
      </c>
      <c r="Q130" s="94">
        <v>-0.27966425028615033</v>
      </c>
      <c r="R130" s="64">
        <v>445.60000000000002</v>
      </c>
      <c r="S130" s="94">
        <v>-0.5960841189267585</v>
      </c>
      <c r="T130" s="64">
        <v>264.60000000000002</v>
      </c>
      <c r="U130" s="94">
        <v>-0.73444399839421914</v>
      </c>
      <c r="V130" s="64">
        <v>365</v>
      </c>
      <c r="W130" s="94">
        <v>-0.72444511550656798</v>
      </c>
      <c r="X130" s="64">
        <v>330</v>
      </c>
      <c r="Y130" s="94">
        <v>-0.79833781471522858</v>
      </c>
      <c r="Z130" s="64">
        <v>476</v>
      </c>
      <c r="AA130" s="94">
        <v>-0.65754163818842404</v>
      </c>
      <c r="AB130" s="64">
        <v>182</v>
      </c>
      <c r="AC130" s="94">
        <v>-0.92539760616494504</v>
      </c>
      <c r="AD130" s="64">
        <v>1088.4000000000001</v>
      </c>
      <c r="AE130" s="94">
        <v>-0.69293271265340661</v>
      </c>
      <c r="AF130" s="95">
        <v>6598.5</v>
      </c>
      <c r="AG130" s="69">
        <v>0.012364420943539577</v>
      </c>
    </row>
    <row r="131" spans="1:33" ht="14.5">
      <c r="A131" t="s">
        <v>11</v>
      </c>
      <c r="C131" s="31"/>
      <c r="D131" t="s">
        <v>309</v>
      </c>
      <c r="E131" t="s">
        <v>589</v>
      </c>
      <c r="F131" s="59" t="str">
        <f ca="1">E131</f>
        <v>Mecca Subiaco</v>
      </c>
      <c r="G131" s="31"/>
      <c r="H131" s="64">
        <v>0</v>
      </c>
      <c r="I131" s="94">
        <v>0</v>
      </c>
      <c r="J131" s="64">
        <v>0</v>
      </c>
      <c r="K131" s="94">
        <v>0</v>
      </c>
      <c r="L131" s="64">
        <v>0</v>
      </c>
      <c r="M131" s="94">
        <v>0</v>
      </c>
      <c r="N131" s="64">
        <v>0</v>
      </c>
      <c r="O131" s="94">
        <v>0</v>
      </c>
      <c r="P131" s="64">
        <v>0</v>
      </c>
      <c r="Q131" s="94">
        <v>0</v>
      </c>
      <c r="R131" s="64">
        <v>0</v>
      </c>
      <c r="S131" s="94">
        <v>0</v>
      </c>
      <c r="T131" s="64">
        <v>0</v>
      </c>
      <c r="U131" s="94">
        <v>0</v>
      </c>
      <c r="V131" s="64">
        <v>0</v>
      </c>
      <c r="W131" s="94">
        <v>0</v>
      </c>
      <c r="X131" s="64">
        <v>0</v>
      </c>
      <c r="Y131" s="94">
        <v>0</v>
      </c>
      <c r="Z131" s="64">
        <v>0</v>
      </c>
      <c r="AA131" s="94">
        <v>0</v>
      </c>
      <c r="AB131" s="64">
        <v>0</v>
      </c>
      <c r="AC131" s="94">
        <v>0</v>
      </c>
      <c r="AD131" s="64">
        <v>0</v>
      </c>
      <c r="AE131" s="94">
        <v>-1</v>
      </c>
      <c r="AF131" s="95">
        <v>0</v>
      </c>
      <c r="AG131" s="69">
        <v>0</v>
      </c>
    </row>
    <row r="132" spans="1:33" ht="14.5">
      <c r="A132" t="s">
        <v>11</v>
      </c>
      <c r="C132" s="31"/>
      <c r="D132" t="s">
        <v>310</v>
      </c>
      <c r="E132" t="s">
        <v>590</v>
      </c>
      <c r="F132" s="59" t="str">
        <f ca="1">E132</f>
        <v>Mecca Mosman</v>
      </c>
      <c r="G132" s="31"/>
      <c r="H132" s="64">
        <v>0</v>
      </c>
      <c r="I132" s="94">
        <v>0</v>
      </c>
      <c r="J132" s="64">
        <v>0</v>
      </c>
      <c r="K132" s="94">
        <v>0</v>
      </c>
      <c r="L132" s="64">
        <v>0</v>
      </c>
      <c r="M132" s="94">
        <v>0</v>
      </c>
      <c r="N132" s="64">
        <v>0</v>
      </c>
      <c r="O132" s="94">
        <v>0</v>
      </c>
      <c r="P132" s="64">
        <v>0</v>
      </c>
      <c r="Q132" s="94">
        <v>0</v>
      </c>
      <c r="R132" s="64">
        <v>16</v>
      </c>
      <c r="S132" s="94">
        <v>0</v>
      </c>
      <c r="T132" s="64">
        <v>0</v>
      </c>
      <c r="U132" s="94">
        <v>0</v>
      </c>
      <c r="V132" s="64">
        <v>0</v>
      </c>
      <c r="W132" s="94">
        <v>-1</v>
      </c>
      <c r="X132" s="64">
        <v>0</v>
      </c>
      <c r="Y132" s="94">
        <v>-1</v>
      </c>
      <c r="Z132" s="64">
        <v>0</v>
      </c>
      <c r="AA132" s="94">
        <v>0</v>
      </c>
      <c r="AB132" s="64">
        <v>0</v>
      </c>
      <c r="AC132" s="94">
        <v>0</v>
      </c>
      <c r="AD132" s="64">
        <v>0</v>
      </c>
      <c r="AE132" s="94">
        <v>-1</v>
      </c>
      <c r="AF132" s="95">
        <v>16</v>
      </c>
      <c r="AG132" s="69">
        <v>2.9981167704271161E-05</v>
      </c>
    </row>
    <row r="133" spans="1:33" ht="14.5">
      <c r="A133" t="s">
        <v>11</v>
      </c>
      <c r="C133" s="31"/>
      <c r="D133" t="s">
        <v>311</v>
      </c>
      <c r="E133" t="s">
        <v>591</v>
      </c>
      <c r="F133" s="59" t="str">
        <f ca="1">E133</f>
        <v>Mecca Green Hills</v>
      </c>
      <c r="G133" s="31"/>
      <c r="H133" s="64">
        <v>110</v>
      </c>
      <c r="I133" s="94">
        <v>-0.73671613212063192</v>
      </c>
      <c r="J133" s="64">
        <v>41</v>
      </c>
      <c r="K133" s="94">
        <v>-0.58999999999999997</v>
      </c>
      <c r="L133" s="64">
        <v>82</v>
      </c>
      <c r="M133" s="94">
        <v>-0.81523208652546197</v>
      </c>
      <c r="N133" s="64">
        <v>65</v>
      </c>
      <c r="O133" s="94">
        <v>-0.84918793503480283</v>
      </c>
      <c r="P133" s="64">
        <v>169</v>
      </c>
      <c r="Q133" s="94">
        <v>8.3888888888888893</v>
      </c>
      <c r="R133" s="64">
        <v>157</v>
      </c>
      <c r="S133" s="94">
        <v>-0.51810926949048497</v>
      </c>
      <c r="T133" s="64">
        <v>364.19999999999999</v>
      </c>
      <c r="U133" s="94">
        <v>0.47449392712550603</v>
      </c>
      <c r="V133" s="64">
        <v>409</v>
      </c>
      <c r="W133" s="94">
        <v>0.65587044534412953</v>
      </c>
      <c r="X133" s="64">
        <v>400</v>
      </c>
      <c r="Y133" s="94">
        <v>0.36147038801906051</v>
      </c>
      <c r="Z133" s="64">
        <v>157.80000000000001</v>
      </c>
      <c r="AA133" s="94">
        <v>-0.5369718309859155</v>
      </c>
      <c r="AB133" s="64">
        <v>126</v>
      </c>
      <c r="AC133" s="94">
        <v>3.8461538461538463</v>
      </c>
      <c r="AD133" s="64">
        <v>234.5</v>
      </c>
      <c r="AE133" s="94">
        <v>1.7588235294117647</v>
      </c>
      <c r="AF133" s="95">
        <v>2315.5</v>
      </c>
      <c r="AG133" s="69">
        <v>0.0043388371137024918</v>
      </c>
    </row>
    <row r="134" spans="1:33" ht="14.5">
      <c r="A134" t="s">
        <v>11</v>
      </c>
      <c r="C134" s="31"/>
      <c r="D134" t="s">
        <v>312</v>
      </c>
      <c r="E134" t="s">
        <v>592</v>
      </c>
      <c r="F134" s="59" t="str">
        <f ca="1">E134</f>
        <v>Mecca Tea Tree Plaza</v>
      </c>
      <c r="G134" s="31"/>
      <c r="H134" s="64">
        <v>1302.4000000000001</v>
      </c>
      <c r="I134" s="94">
        <v>0</v>
      </c>
      <c r="J134" s="64">
        <v>987.79999999999995</v>
      </c>
      <c r="K134" s="94">
        <v>0</v>
      </c>
      <c r="L134" s="64">
        <v>1159.2</v>
      </c>
      <c r="M134" s="94">
        <v>2.7153846153846155</v>
      </c>
      <c r="N134" s="64">
        <v>1185</v>
      </c>
      <c r="O134" s="94">
        <v>0.37918994413407831</v>
      </c>
      <c r="P134" s="64">
        <v>850.79999999999995</v>
      </c>
      <c r="Q134" s="94">
        <v>11.698507462686566</v>
      </c>
      <c r="R134" s="64">
        <v>865.60000000000002</v>
      </c>
      <c r="S134" s="94">
        <v>-0.051709027169149796</v>
      </c>
      <c r="T134" s="64">
        <v>634.60000000000002</v>
      </c>
      <c r="U134" s="94">
        <v>-0.53481894150417819</v>
      </c>
      <c r="V134" s="64">
        <v>361</v>
      </c>
      <c r="W134" s="94">
        <v>-0.67825311942958999</v>
      </c>
      <c r="X134" s="64">
        <v>521.39999999999998</v>
      </c>
      <c r="Y134" s="94">
        <v>-0.57318271119842823</v>
      </c>
      <c r="Z134" s="64">
        <v>512.39999999999998</v>
      </c>
      <c r="AA134" s="94">
        <v>-0.46063157894736845</v>
      </c>
      <c r="AB134" s="64">
        <v>308</v>
      </c>
      <c r="AC134" s="94">
        <v>-0.69708890637293464</v>
      </c>
      <c r="AD134" s="64">
        <v>946.39999999999998</v>
      </c>
      <c r="AE134" s="94">
        <v>-0.37266339652658093</v>
      </c>
      <c r="AF134" s="95">
        <v>9634.6000000000004</v>
      </c>
      <c r="AG134" s="69">
        <v>0.018053534897723184</v>
      </c>
    </row>
    <row r="135" spans="1:33" ht="14.5">
      <c r="A135" t="s">
        <v>11</v>
      </c>
      <c r="C135" s="31"/>
      <c r="D135" t="s">
        <v>313</v>
      </c>
      <c r="E135" t="s">
        <v>593</v>
      </c>
      <c r="F135" s="59" t="str">
        <f ca="1">E135</f>
        <v>Mecca Knox</v>
      </c>
      <c r="G135" s="31"/>
      <c r="H135" s="64">
        <v>163.19999999999999</v>
      </c>
      <c r="I135" s="94">
        <v>0</v>
      </c>
      <c r="J135" s="64">
        <v>118.40000000000001</v>
      </c>
      <c r="K135" s="94">
        <v>0</v>
      </c>
      <c r="L135" s="64">
        <v>48</v>
      </c>
      <c r="M135" s="94">
        <v>0</v>
      </c>
      <c r="N135" s="64">
        <v>80</v>
      </c>
      <c r="O135" s="94">
        <v>0</v>
      </c>
      <c r="P135" s="64">
        <v>164</v>
      </c>
      <c r="Q135" s="94">
        <v>4.8571428571428568</v>
      </c>
      <c r="R135" s="64">
        <v>36</v>
      </c>
      <c r="S135" s="94">
        <v>0.022727272727272645</v>
      </c>
      <c r="T135" s="64">
        <v>189</v>
      </c>
      <c r="U135" s="94">
        <v>1.953125</v>
      </c>
      <c r="V135" s="64">
        <v>108</v>
      </c>
      <c r="W135" s="94">
        <v>2.375</v>
      </c>
      <c r="X135" s="64">
        <v>226</v>
      </c>
      <c r="Y135" s="94">
        <v>0.765625</v>
      </c>
      <c r="Z135" s="64">
        <v>305</v>
      </c>
      <c r="AA135" s="94">
        <v>2.8125</v>
      </c>
      <c r="AB135" s="64">
        <v>138</v>
      </c>
      <c r="AC135" s="94">
        <v>0</v>
      </c>
      <c r="AD135" s="64">
        <v>274.39999999999998</v>
      </c>
      <c r="AE135" s="94">
        <v>0.0088235294117646225</v>
      </c>
      <c r="AF135" s="95">
        <v>1850</v>
      </c>
      <c r="AG135" s="69">
        <v>0.0034665725158063527</v>
      </c>
    </row>
    <row r="136" spans="1:33" ht="14.5">
      <c r="A136" t="s">
        <v>11</v>
      </c>
      <c r="C136" s="31"/>
      <c r="D136" t="s">
        <v>314</v>
      </c>
      <c r="E136" t="s">
        <v>594</v>
      </c>
      <c r="F136" s="59" t="str">
        <f ca="1">E136</f>
        <v>Mecca Carousel</v>
      </c>
      <c r="G136" s="31"/>
      <c r="H136" s="64">
        <v>943.60000000000002</v>
      </c>
      <c r="I136" s="94">
        <v>0</v>
      </c>
      <c r="J136" s="64">
        <v>784.20000000000005</v>
      </c>
      <c r="K136" s="94">
        <v>0</v>
      </c>
      <c r="L136" s="64">
        <v>915.60000000000002</v>
      </c>
      <c r="M136" s="94">
        <v>0</v>
      </c>
      <c r="N136" s="64">
        <v>754.60000000000002</v>
      </c>
      <c r="O136" s="94">
        <v>0</v>
      </c>
      <c r="P136" s="64">
        <v>540</v>
      </c>
      <c r="Q136" s="94">
        <v>0</v>
      </c>
      <c r="R136" s="64">
        <v>918.20000000000005</v>
      </c>
      <c r="S136" s="94">
        <v>4.2891705069124431</v>
      </c>
      <c r="T136" s="64">
        <v>1250.4000000000001</v>
      </c>
      <c r="U136" s="94">
        <v>1.0756972111553786</v>
      </c>
      <c r="V136" s="64">
        <v>575.39999999999998</v>
      </c>
      <c r="W136" s="94">
        <v>-0.38761174968071521</v>
      </c>
      <c r="X136" s="64">
        <v>906.20000000000005</v>
      </c>
      <c r="Y136" s="94">
        <v>-0.34589288292189985</v>
      </c>
      <c r="Z136" s="64">
        <v>938.59999999999991</v>
      </c>
      <c r="AA136" s="94">
        <v>-0.43307562213094952</v>
      </c>
      <c r="AB136" s="64">
        <v>850.59999999999991</v>
      </c>
      <c r="AC136" s="94">
        <v>-0.26558452771542057</v>
      </c>
      <c r="AD136" s="64">
        <v>1852.4000000000001</v>
      </c>
      <c r="AE136" s="94">
        <v>-0.22096055177054422</v>
      </c>
      <c r="AF136" s="95">
        <v>11229.799999999999</v>
      </c>
      <c r="AG136" s="69">
        <v>0.021042657317839015</v>
      </c>
    </row>
    <row r="137" spans="1:33" ht="14.5">
      <c r="A137" t="s">
        <v>11</v>
      </c>
      <c r="C137" s="31"/>
      <c r="D137" t="s">
        <v>315</v>
      </c>
      <c r="E137" t="s">
        <v>595</v>
      </c>
      <c r="F137" s="59" t="str">
        <f ca="1">E137</f>
        <v>Mecca Penrith</v>
      </c>
      <c r="G137" s="31"/>
      <c r="H137" s="64">
        <v>0</v>
      </c>
      <c r="I137" s="94">
        <v>0</v>
      </c>
      <c r="J137" s="64">
        <v>0</v>
      </c>
      <c r="K137" s="94">
        <v>0</v>
      </c>
      <c r="L137" s="64">
        <v>0</v>
      </c>
      <c r="M137" s="94">
        <v>0</v>
      </c>
      <c r="N137" s="64">
        <v>0</v>
      </c>
      <c r="O137" s="94">
        <v>0</v>
      </c>
      <c r="P137" s="64">
        <v>0</v>
      </c>
      <c r="Q137" s="94">
        <v>0</v>
      </c>
      <c r="R137" s="64">
        <v>382.60000000000002</v>
      </c>
      <c r="S137" s="94">
        <v>0</v>
      </c>
      <c r="T137" s="64">
        <v>306</v>
      </c>
      <c r="U137" s="94">
        <v>0</v>
      </c>
      <c r="V137" s="64">
        <v>108</v>
      </c>
      <c r="W137" s="94">
        <v>0</v>
      </c>
      <c r="X137" s="64">
        <v>176</v>
      </c>
      <c r="Y137" s="94">
        <v>0</v>
      </c>
      <c r="Z137" s="64">
        <v>281</v>
      </c>
      <c r="AA137" s="94">
        <v>0</v>
      </c>
      <c r="AB137" s="64">
        <v>92</v>
      </c>
      <c r="AC137" s="94">
        <v>0</v>
      </c>
      <c r="AD137" s="64">
        <v>220</v>
      </c>
      <c r="AE137" s="94">
        <v>0</v>
      </c>
      <c r="AF137" s="95">
        <v>1565.5999999999999</v>
      </c>
      <c r="AG137" s="69">
        <v>0.0029336572598629329</v>
      </c>
    </row>
    <row r="138" spans="1:33" ht="14.5">
      <c r="A138" t="s">
        <v>11</v>
      </c>
      <c r="C138" s="31"/>
      <c r="D138" t="s">
        <v>316</v>
      </c>
      <c r="E138" t="s">
        <v>596</v>
      </c>
      <c r="F138" s="59" t="str">
        <f ca="1">E138</f>
        <v>Mecca Burwood</v>
      </c>
      <c r="G138" s="31"/>
      <c r="H138" s="64">
        <v>270.60000000000002</v>
      </c>
      <c r="I138" s="94">
        <v>0</v>
      </c>
      <c r="J138" s="64">
        <v>361.60000000000002</v>
      </c>
      <c r="K138" s="94">
        <v>0</v>
      </c>
      <c r="L138" s="64">
        <v>399.39999999999998</v>
      </c>
      <c r="M138" s="94">
        <v>0</v>
      </c>
      <c r="N138" s="64">
        <v>239</v>
      </c>
      <c r="O138" s="94">
        <v>0</v>
      </c>
      <c r="P138" s="64">
        <v>231</v>
      </c>
      <c r="Q138" s="94">
        <v>0</v>
      </c>
      <c r="R138" s="64">
        <v>184</v>
      </c>
      <c r="S138" s="94">
        <v>-0.014989293361884428</v>
      </c>
      <c r="T138" s="64">
        <v>217.80000000000001</v>
      </c>
      <c r="U138" s="94">
        <v>0.078217821782178273</v>
      </c>
      <c r="V138" s="64">
        <v>184.80000000000001</v>
      </c>
      <c r="W138" s="94">
        <v>0.35682819383259934</v>
      </c>
      <c r="X138" s="64">
        <v>649</v>
      </c>
      <c r="Y138" s="94">
        <v>-0.17430025445292621</v>
      </c>
      <c r="Z138" s="64">
        <v>418.39999999999998</v>
      </c>
      <c r="AA138" s="94">
        <v>-0.26467486818980673</v>
      </c>
      <c r="AB138" s="64">
        <v>622</v>
      </c>
      <c r="AC138" s="94">
        <v>5.1584158415841586</v>
      </c>
      <c r="AD138" s="64">
        <v>778.39999999999998</v>
      </c>
      <c r="AE138" s="94">
        <v>1.3403487672880334</v>
      </c>
      <c r="AF138" s="95">
        <v>4556</v>
      </c>
      <c r="AG138" s="69">
        <v>0.0085371375037912121</v>
      </c>
    </row>
    <row r="139" spans="1:33" ht="14.5">
      <c r="A139" t="s">
        <v>11</v>
      </c>
      <c r="C139" s="31"/>
      <c r="D139" t="s">
        <v>317</v>
      </c>
      <c r="E139" t="s">
        <v>597</v>
      </c>
      <c r="F139" s="59" t="str">
        <f ca="1">E139</f>
        <v>Mecca Booragoon</v>
      </c>
      <c r="G139" s="31"/>
      <c r="H139" s="64">
        <v>85</v>
      </c>
      <c r="I139" s="94">
        <v>0</v>
      </c>
      <c r="J139" s="64">
        <v>16</v>
      </c>
      <c r="K139" s="94">
        <v>0</v>
      </c>
      <c r="L139" s="64">
        <v>91</v>
      </c>
      <c r="M139" s="94">
        <v>0</v>
      </c>
      <c r="N139" s="64">
        <v>158.59999999999999</v>
      </c>
      <c r="O139" s="94">
        <v>0</v>
      </c>
      <c r="P139" s="64">
        <v>128</v>
      </c>
      <c r="Q139" s="94">
        <v>-0.46666666666666667</v>
      </c>
      <c r="R139" s="64">
        <v>162</v>
      </c>
      <c r="S139" s="94">
        <v>0.20895522388059701</v>
      </c>
      <c r="T139" s="64">
        <v>442.80000000000001</v>
      </c>
      <c r="U139" s="94">
        <v>2.4593750000000001</v>
      </c>
      <c r="V139" s="64">
        <v>207</v>
      </c>
      <c r="W139" s="94">
        <v>2.234375</v>
      </c>
      <c r="X139" s="64">
        <v>222</v>
      </c>
      <c r="Y139" s="94">
        <v>0.65671641791044777</v>
      </c>
      <c r="Z139" s="64">
        <v>92</v>
      </c>
      <c r="AA139" s="94">
        <v>-0.16363636363636364</v>
      </c>
      <c r="AB139" s="64">
        <v>213</v>
      </c>
      <c r="AC139" s="94">
        <v>0</v>
      </c>
      <c r="AD139" s="64">
        <v>377</v>
      </c>
      <c r="AE139" s="94">
        <v>0.046640755136035571</v>
      </c>
      <c r="AF139" s="95">
        <v>2194.4000000000001</v>
      </c>
      <c r="AG139" s="69">
        <v>0.0041119171506407894</v>
      </c>
    </row>
    <row r="140" spans="1:33" ht="14.5">
      <c r="A140" t="s">
        <v>11</v>
      </c>
      <c r="C140" s="31"/>
      <c r="D140" t="s">
        <v>318</v>
      </c>
      <c r="E140" t="s">
        <v>598</v>
      </c>
      <c r="F140" s="59" t="str">
        <f ca="1">E140</f>
        <v>Mecca Charlestown</v>
      </c>
      <c r="G140" s="31"/>
      <c r="H140" s="64">
        <v>0</v>
      </c>
      <c r="I140" s="94">
        <v>0</v>
      </c>
      <c r="J140" s="64">
        <v>0</v>
      </c>
      <c r="K140" s="94">
        <v>0</v>
      </c>
      <c r="L140" s="64">
        <v>0</v>
      </c>
      <c r="M140" s="94">
        <v>0</v>
      </c>
      <c r="N140" s="64">
        <v>144</v>
      </c>
      <c r="O140" s="94">
        <v>0</v>
      </c>
      <c r="P140" s="64">
        <v>47.600000000000001</v>
      </c>
      <c r="Q140" s="94">
        <v>0</v>
      </c>
      <c r="R140" s="64">
        <v>144</v>
      </c>
      <c r="S140" s="94">
        <v>0</v>
      </c>
      <c r="T140" s="64">
        <v>117</v>
      </c>
      <c r="U140" s="94">
        <v>0</v>
      </c>
      <c r="V140" s="64">
        <v>128.19999999999999</v>
      </c>
      <c r="W140" s="94">
        <v>0</v>
      </c>
      <c r="X140" s="64">
        <v>82.200000000000003</v>
      </c>
      <c r="Y140" s="94">
        <v>0</v>
      </c>
      <c r="Z140" s="64">
        <v>114</v>
      </c>
      <c r="AA140" s="94">
        <v>0</v>
      </c>
      <c r="AB140" s="64">
        <v>0</v>
      </c>
      <c r="AC140" s="94">
        <v>0</v>
      </c>
      <c r="AD140" s="64">
        <v>138</v>
      </c>
      <c r="AE140" s="94">
        <v>0</v>
      </c>
      <c r="AF140" s="95">
        <v>915</v>
      </c>
      <c r="AG140" s="69">
        <v>0.0017145480280880069</v>
      </c>
    </row>
    <row r="141" spans="1:33" ht="14.5">
      <c r="A141" t="s">
        <v>11</v>
      </c>
      <c r="C141" s="31"/>
      <c r="D141" t="s">
        <v>319</v>
      </c>
      <c r="E141" t="s">
        <v>599</v>
      </c>
      <c r="F141" s="59" t="str">
        <f ca="1">E141</f>
        <v>Mecca Liverpool</v>
      </c>
      <c r="G141" s="31"/>
      <c r="H141" s="64">
        <v>0</v>
      </c>
      <c r="I141" s="94">
        <v>0</v>
      </c>
      <c r="J141" s="64">
        <v>0</v>
      </c>
      <c r="K141" s="94">
        <v>0</v>
      </c>
      <c r="L141" s="64">
        <v>0</v>
      </c>
      <c r="M141" s="94">
        <v>0</v>
      </c>
      <c r="N141" s="64">
        <v>0</v>
      </c>
      <c r="O141" s="94">
        <v>0</v>
      </c>
      <c r="P141" s="64">
        <v>30</v>
      </c>
      <c r="Q141" s="94">
        <v>0</v>
      </c>
      <c r="R141" s="64">
        <v>67</v>
      </c>
      <c r="S141" s="94">
        <v>0</v>
      </c>
      <c r="T141" s="64">
        <v>247</v>
      </c>
      <c r="U141" s="94">
        <v>0</v>
      </c>
      <c r="V141" s="64">
        <v>54</v>
      </c>
      <c r="W141" s="94">
        <v>0</v>
      </c>
      <c r="X141" s="64">
        <v>155</v>
      </c>
      <c r="Y141" s="94">
        <v>0</v>
      </c>
      <c r="Z141" s="64">
        <v>29</v>
      </c>
      <c r="AA141" s="94">
        <v>0</v>
      </c>
      <c r="AB141" s="64">
        <v>46</v>
      </c>
      <c r="AC141" s="94">
        <v>0</v>
      </c>
      <c r="AD141" s="64">
        <v>194</v>
      </c>
      <c r="AE141" s="94">
        <v>0</v>
      </c>
      <c r="AF141" s="95">
        <v>822</v>
      </c>
      <c r="AG141" s="69">
        <v>0.0015402824908069309</v>
      </c>
    </row>
    <row r="142" spans="1:33" ht="14.5">
      <c r="A142" t="s">
        <v>11</v>
      </c>
      <c r="C142" s="31"/>
      <c r="D142" t="s">
        <v>320</v>
      </c>
      <c r="E142" t="s">
        <v>600</v>
      </c>
      <c r="F142" s="59" t="str">
        <f ca="1">E142</f>
        <v>Mecca Marion</v>
      </c>
      <c r="G142" s="31"/>
      <c r="H142" s="64">
        <v>1323</v>
      </c>
      <c r="I142" s="94">
        <v>0</v>
      </c>
      <c r="J142" s="64">
        <v>924.39999999999998</v>
      </c>
      <c r="K142" s="94">
        <v>0</v>
      </c>
      <c r="L142" s="64">
        <v>1495.8</v>
      </c>
      <c r="M142" s="94">
        <v>0</v>
      </c>
      <c r="N142" s="64">
        <v>999.79999999999995</v>
      </c>
      <c r="O142" s="94">
        <v>0</v>
      </c>
      <c r="P142" s="64">
        <v>628.79999999999995</v>
      </c>
      <c r="Q142" s="94">
        <v>0</v>
      </c>
      <c r="R142" s="64">
        <v>565.39999999999998</v>
      </c>
      <c r="S142" s="94">
        <v>0</v>
      </c>
      <c r="T142" s="64">
        <v>428.80000000000001</v>
      </c>
      <c r="U142" s="94">
        <v>0</v>
      </c>
      <c r="V142" s="64">
        <v>355.60000000000002</v>
      </c>
      <c r="W142" s="94">
        <v>0</v>
      </c>
      <c r="X142" s="64">
        <v>546.20000000000005</v>
      </c>
      <c r="Y142" s="94">
        <v>0</v>
      </c>
      <c r="Z142" s="64">
        <v>471.39999999999998</v>
      </c>
      <c r="AA142" s="94">
        <v>1.277294685990338</v>
      </c>
      <c r="AB142" s="64">
        <v>365.60000000000002</v>
      </c>
      <c r="AC142" s="94">
        <v>-0.70988731947309947</v>
      </c>
      <c r="AD142" s="64">
        <v>1221.2</v>
      </c>
      <c r="AE142" s="94">
        <v>-0.55244447702118304</v>
      </c>
      <c r="AF142" s="95">
        <v>9326</v>
      </c>
      <c r="AG142" s="69">
        <v>0.017475273125627053</v>
      </c>
    </row>
    <row r="143" spans="1:33" ht="14.5">
      <c r="A143" t="s">
        <v>11</v>
      </c>
      <c r="C143" s="31"/>
      <c r="D143" t="s">
        <v>321</v>
      </c>
      <c r="E143" t="s">
        <v>601</v>
      </c>
      <c r="F143" s="59" t="str">
        <f ca="1">E143</f>
        <v>Mecca Werribee</v>
      </c>
      <c r="G143" s="31"/>
      <c r="H143" s="64">
        <v>0</v>
      </c>
      <c r="I143" s="94">
        <v>0</v>
      </c>
      <c r="J143" s="64">
        <v>0</v>
      </c>
      <c r="K143" s="94">
        <v>0</v>
      </c>
      <c r="L143" s="64">
        <v>0</v>
      </c>
      <c r="M143" s="94">
        <v>0</v>
      </c>
      <c r="N143" s="64">
        <v>0</v>
      </c>
      <c r="O143" s="94">
        <v>0</v>
      </c>
      <c r="P143" s="64">
        <v>-16</v>
      </c>
      <c r="Q143" s="94">
        <v>0</v>
      </c>
      <c r="R143" s="64">
        <v>0</v>
      </c>
      <c r="S143" s="94">
        <v>0</v>
      </c>
      <c r="T143" s="64">
        <v>0</v>
      </c>
      <c r="U143" s="94">
        <v>0</v>
      </c>
      <c r="V143" s="64">
        <v>0</v>
      </c>
      <c r="W143" s="94">
        <v>0</v>
      </c>
      <c r="X143" s="64">
        <v>0</v>
      </c>
      <c r="Y143" s="94">
        <v>0</v>
      </c>
      <c r="Z143" s="64">
        <v>29</v>
      </c>
      <c r="AA143" s="94">
        <v>0</v>
      </c>
      <c r="AB143" s="64">
        <v>0</v>
      </c>
      <c r="AC143" s="94">
        <v>0</v>
      </c>
      <c r="AD143" s="64">
        <v>0</v>
      </c>
      <c r="AE143" s="94">
        <v>-1</v>
      </c>
      <c r="AF143" s="95">
        <v>13</v>
      </c>
      <c r="AG143" s="69">
        <v>2.4359698759720318E-05</v>
      </c>
    </row>
    <row r="144" spans="1:33" ht="14.5">
      <c r="A144" t="s">
        <v>11</v>
      </c>
      <c r="C144" s="31"/>
      <c r="D144" t="s">
        <v>322</v>
      </c>
      <c r="E144" t="s">
        <v>602</v>
      </c>
      <c r="F144" s="59" t="str">
        <f ca="1">E144</f>
        <v>Mecca Toowoomba</v>
      </c>
      <c r="G144" s="31"/>
      <c r="H144" s="64">
        <v>269</v>
      </c>
      <c r="I144" s="94">
        <v>0</v>
      </c>
      <c r="J144" s="64">
        <v>267</v>
      </c>
      <c r="K144" s="94">
        <v>0</v>
      </c>
      <c r="L144" s="64">
        <v>192</v>
      </c>
      <c r="M144" s="94">
        <v>0</v>
      </c>
      <c r="N144" s="64">
        <v>220</v>
      </c>
      <c r="O144" s="94">
        <v>0</v>
      </c>
      <c r="P144" s="64">
        <v>159</v>
      </c>
      <c r="Q144" s="94">
        <v>0</v>
      </c>
      <c r="R144" s="64">
        <v>30</v>
      </c>
      <c r="S144" s="94">
        <v>-0.9588590235874932</v>
      </c>
      <c r="T144" s="64">
        <v>108</v>
      </c>
      <c r="U144" s="94">
        <v>-0.8446043165467626</v>
      </c>
      <c r="V144" s="64">
        <v>102.59999999999999</v>
      </c>
      <c r="W144" s="94">
        <v>-0.70174418604651168</v>
      </c>
      <c r="X144" s="64">
        <v>46</v>
      </c>
      <c r="Y144" s="94">
        <v>-0.74244120940649494</v>
      </c>
      <c r="Z144" s="64">
        <v>92</v>
      </c>
      <c r="AA144" s="94">
        <v>-0.13207547169811321</v>
      </c>
      <c r="AB144" s="64">
        <v>63.399999999999999</v>
      </c>
      <c r="AC144" s="94">
        <v>-0.55035460992907792</v>
      </c>
      <c r="AD144" s="64">
        <v>482</v>
      </c>
      <c r="AE144" s="94">
        <v>0.052401746724890827</v>
      </c>
      <c r="AF144" s="95">
        <v>2031</v>
      </c>
      <c r="AG144" s="69">
        <v>0.0038057344754609205</v>
      </c>
    </row>
    <row r="145" spans="1:33" ht="14.5">
      <c r="A145" t="s">
        <v>11</v>
      </c>
      <c r="C145" s="31"/>
      <c r="D145" t="s">
        <v>323</v>
      </c>
      <c r="E145" t="s">
        <v>603</v>
      </c>
      <c r="F145" s="59" t="str">
        <f ca="1">E145</f>
        <v>Mecca Chatswood</v>
      </c>
      <c r="G145" s="31"/>
      <c r="H145" s="64">
        <v>0</v>
      </c>
      <c r="I145" s="94">
        <v>0</v>
      </c>
      <c r="J145" s="64">
        <v>0</v>
      </c>
      <c r="K145" s="94">
        <v>0</v>
      </c>
      <c r="L145" s="64">
        <v>0</v>
      </c>
      <c r="M145" s="94">
        <v>0</v>
      </c>
      <c r="N145" s="64">
        <v>0</v>
      </c>
      <c r="O145" s="94">
        <v>0</v>
      </c>
      <c r="P145" s="64">
        <v>0</v>
      </c>
      <c r="Q145" s="94">
        <v>0</v>
      </c>
      <c r="R145" s="64">
        <v>0</v>
      </c>
      <c r="S145" s="94">
        <v>0</v>
      </c>
      <c r="T145" s="64">
        <v>0</v>
      </c>
      <c r="U145" s="94">
        <v>0</v>
      </c>
      <c r="V145" s="64">
        <v>37</v>
      </c>
      <c r="W145" s="94">
        <v>0</v>
      </c>
      <c r="X145" s="64">
        <v>95</v>
      </c>
      <c r="Y145" s="94">
        <v>0</v>
      </c>
      <c r="Z145" s="64">
        <v>181</v>
      </c>
      <c r="AA145" s="94">
        <v>0</v>
      </c>
      <c r="AB145" s="64">
        <v>20.399999999999999</v>
      </c>
      <c r="AC145" s="94">
        <v>0</v>
      </c>
      <c r="AD145" s="64">
        <v>0</v>
      </c>
      <c r="AE145" s="94">
        <v>0</v>
      </c>
      <c r="AF145" s="95">
        <v>333.39999999999998</v>
      </c>
      <c r="AG145" s="69">
        <v>0.00062473258203775027</v>
      </c>
    </row>
    <row r="146" spans="1:33" ht="14.5">
      <c r="A146" t="s">
        <v>11</v>
      </c>
      <c r="C146" s="31"/>
      <c r="D146" t="s">
        <v>324</v>
      </c>
      <c r="E146" t="s">
        <v>604</v>
      </c>
      <c r="F146" s="59" t="str">
        <f ca="1">E146</f>
        <v>Mecca Rouse Hill</v>
      </c>
      <c r="G146" s="31"/>
      <c r="H146" s="64">
        <v>0</v>
      </c>
      <c r="I146" s="94">
        <v>0</v>
      </c>
      <c r="J146" s="64">
        <v>10</v>
      </c>
      <c r="K146" s="94">
        <v>0</v>
      </c>
      <c r="L146" s="64">
        <v>0</v>
      </c>
      <c r="M146" s="94">
        <v>0</v>
      </c>
      <c r="N146" s="64">
        <v>5</v>
      </c>
      <c r="O146" s="94">
        <v>0</v>
      </c>
      <c r="P146" s="64">
        <v>0</v>
      </c>
      <c r="Q146" s="94">
        <v>0</v>
      </c>
      <c r="R146" s="64">
        <v>0</v>
      </c>
      <c r="S146" s="94">
        <v>0</v>
      </c>
      <c r="T146" s="64">
        <v>0</v>
      </c>
      <c r="U146" s="94">
        <v>0</v>
      </c>
      <c r="V146" s="64">
        <v>0</v>
      </c>
      <c r="W146" s="94">
        <v>0</v>
      </c>
      <c r="X146" s="64">
        <v>0</v>
      </c>
      <c r="Y146" s="94">
        <v>0</v>
      </c>
      <c r="Z146" s="64">
        <v>0</v>
      </c>
      <c r="AA146" s="94">
        <v>0</v>
      </c>
      <c r="AB146" s="64">
        <v>0</v>
      </c>
      <c r="AC146" s="94">
        <v>-1</v>
      </c>
      <c r="AD146" s="64">
        <v>0</v>
      </c>
      <c r="AE146" s="94">
        <v>-1</v>
      </c>
      <c r="AF146" s="95">
        <v>15</v>
      </c>
      <c r="AG146" s="69">
        <v>2.8107344722754211E-05</v>
      </c>
    </row>
    <row r="147" spans="1:33" ht="14.5">
      <c r="A147" t="s">
        <v>11</v>
      </c>
      <c r="C147" s="31"/>
      <c r="D147" t="s">
        <v>325</v>
      </c>
      <c r="E147" t="s">
        <v>605</v>
      </c>
      <c r="F147" s="59" t="str">
        <f ca="1">E147</f>
        <v>Mecca Melbourne Central</v>
      </c>
      <c r="G147" s="31"/>
      <c r="H147" s="64">
        <v>382.80000000000001</v>
      </c>
      <c r="I147" s="94">
        <v>0</v>
      </c>
      <c r="J147" s="64">
        <v>310</v>
      </c>
      <c r="K147" s="94">
        <v>0</v>
      </c>
      <c r="L147" s="64">
        <v>399.60000000000002</v>
      </c>
      <c r="M147" s="94">
        <v>0</v>
      </c>
      <c r="N147" s="64">
        <v>306</v>
      </c>
      <c r="O147" s="94">
        <v>0</v>
      </c>
      <c r="P147" s="64">
        <v>178</v>
      </c>
      <c r="Q147" s="94">
        <v>0</v>
      </c>
      <c r="R147" s="64">
        <v>158</v>
      </c>
      <c r="S147" s="94">
        <v>0</v>
      </c>
      <c r="T147" s="64">
        <v>270.90000000000003</v>
      </c>
      <c r="U147" s="94">
        <v>0</v>
      </c>
      <c r="V147" s="64">
        <v>188</v>
      </c>
      <c r="W147" s="94">
        <v>-0.35395189003436428</v>
      </c>
      <c r="X147" s="64">
        <v>269</v>
      </c>
      <c r="Y147" s="94">
        <v>-0.31447502548419975</v>
      </c>
      <c r="Z147" s="64">
        <v>147</v>
      </c>
      <c r="AA147" s="94">
        <v>-0.34257602862254022</v>
      </c>
      <c r="AB147" s="64">
        <v>260</v>
      </c>
      <c r="AC147" s="94">
        <v>-0.17460317460317459</v>
      </c>
      <c r="AD147" s="64">
        <v>301.75</v>
      </c>
      <c r="AE147" s="94">
        <v>-0.33329650905877156</v>
      </c>
      <c r="AF147" s="95">
        <v>3171.0500000000002</v>
      </c>
      <c r="AG147" s="69">
        <v>0.0059419863655393165</v>
      </c>
    </row>
    <row r="148" spans="1:33" ht="14.5">
      <c r="A148" t="s">
        <v>11</v>
      </c>
      <c r="C148" s="31"/>
      <c r="D148" t="s">
        <v>326</v>
      </c>
      <c r="E148" t="s">
        <v>606</v>
      </c>
      <c r="F148" s="59" t="str">
        <f ca="1">E148</f>
        <v>Mecca Burnside Village</v>
      </c>
      <c r="G148" s="31"/>
      <c r="H148" s="64">
        <v>0</v>
      </c>
      <c r="I148" s="94">
        <v>0</v>
      </c>
      <c r="J148" s="64">
        <v>0</v>
      </c>
      <c r="K148" s="94">
        <v>0</v>
      </c>
      <c r="L148" s="64">
        <v>0</v>
      </c>
      <c r="M148" s="94">
        <v>0</v>
      </c>
      <c r="N148" s="64">
        <v>0</v>
      </c>
      <c r="O148" s="94">
        <v>0</v>
      </c>
      <c r="P148" s="64">
        <v>0</v>
      </c>
      <c r="Q148" s="94">
        <v>0</v>
      </c>
      <c r="R148" s="64">
        <v>1258.4000000000001</v>
      </c>
      <c r="S148" s="94">
        <v>0</v>
      </c>
      <c r="T148" s="64">
        <v>277.19999999999999</v>
      </c>
      <c r="U148" s="94">
        <v>0</v>
      </c>
      <c r="V148" s="64">
        <v>259.19999999999999</v>
      </c>
      <c r="W148" s="94">
        <v>0</v>
      </c>
      <c r="X148" s="64">
        <v>317</v>
      </c>
      <c r="Y148" s="94">
        <v>0</v>
      </c>
      <c r="Z148" s="64">
        <v>330</v>
      </c>
      <c r="AA148" s="94">
        <v>0</v>
      </c>
      <c r="AB148" s="64">
        <v>318.19999999999999</v>
      </c>
      <c r="AC148" s="94">
        <v>0</v>
      </c>
      <c r="AD148" s="64">
        <v>1172.55</v>
      </c>
      <c r="AE148" s="94">
        <v>0</v>
      </c>
      <c r="AF148" s="95">
        <v>3932.5500000000002</v>
      </c>
      <c r="AG148" s="69">
        <v>0.0073689025659644724</v>
      </c>
    </row>
    <row r="149" spans="1:33" ht="14.5">
      <c r="A149" t="s">
        <v>11</v>
      </c>
      <c r="C149" s="31"/>
      <c r="D149" t="s">
        <v>327</v>
      </c>
      <c r="E149" t="s">
        <v>607</v>
      </c>
      <c r="F149" s="59" t="str">
        <f ca="1">E149</f>
        <v>Mecca Sunshine Plaza</v>
      </c>
      <c r="G149" s="31"/>
      <c r="H149" s="64">
        <v>0</v>
      </c>
      <c r="I149" s="94">
        <v>0</v>
      </c>
      <c r="J149" s="64">
        <v>0</v>
      </c>
      <c r="K149" s="94">
        <v>0</v>
      </c>
      <c r="L149" s="64">
        <v>0</v>
      </c>
      <c r="M149" s="94">
        <v>0</v>
      </c>
      <c r="N149" s="64">
        <v>0</v>
      </c>
      <c r="O149" s="94">
        <v>0</v>
      </c>
      <c r="P149" s="64">
        <v>0</v>
      </c>
      <c r="Q149" s="94">
        <v>0</v>
      </c>
      <c r="R149" s="64">
        <v>0</v>
      </c>
      <c r="S149" s="94">
        <v>0</v>
      </c>
      <c r="T149" s="64">
        <v>494.19999999999999</v>
      </c>
      <c r="U149" s="94">
        <v>0</v>
      </c>
      <c r="V149" s="64">
        <v>654.79999999999995</v>
      </c>
      <c r="W149" s="94">
        <v>0</v>
      </c>
      <c r="X149" s="64">
        <v>590</v>
      </c>
      <c r="Y149" s="94">
        <v>0</v>
      </c>
      <c r="Z149" s="64">
        <v>311.39999999999998</v>
      </c>
      <c r="AA149" s="94">
        <v>0</v>
      </c>
      <c r="AB149" s="64">
        <v>514</v>
      </c>
      <c r="AC149" s="94">
        <v>0</v>
      </c>
      <c r="AD149" s="64">
        <v>1426.4000000000001</v>
      </c>
      <c r="AE149" s="94">
        <v>0</v>
      </c>
      <c r="AF149" s="95">
        <v>3990.8000000000002</v>
      </c>
      <c r="AG149" s="69">
        <v>0.0074780527546378346</v>
      </c>
    </row>
    <row r="150" spans="1:33" ht="14.5">
      <c r="A150" t="s">
        <v>11</v>
      </c>
      <c r="C150" s="31"/>
      <c r="D150" t="s">
        <v>328</v>
      </c>
      <c r="E150" t="s">
        <v>608</v>
      </c>
      <c r="F150" s="59" t="str">
        <f ca="1">E150</f>
        <v>Mecca Watergardens</v>
      </c>
      <c r="G150" s="31"/>
      <c r="H150" s="64">
        <v>656.39999999999998</v>
      </c>
      <c r="I150" s="94">
        <v>0</v>
      </c>
      <c r="J150" s="64">
        <v>494</v>
      </c>
      <c r="K150" s="94">
        <v>0</v>
      </c>
      <c r="L150" s="64">
        <v>587.60000000000002</v>
      </c>
      <c r="M150" s="94">
        <v>0</v>
      </c>
      <c r="N150" s="64">
        <v>260</v>
      </c>
      <c r="O150" s="94">
        <v>0</v>
      </c>
      <c r="P150" s="64">
        <v>0</v>
      </c>
      <c r="Q150" s="94">
        <v>0</v>
      </c>
      <c r="R150" s="64">
        <v>0</v>
      </c>
      <c r="S150" s="94">
        <v>0</v>
      </c>
      <c r="T150" s="64">
        <v>0</v>
      </c>
      <c r="U150" s="94">
        <v>0</v>
      </c>
      <c r="V150" s="64">
        <v>0</v>
      </c>
      <c r="W150" s="94">
        <v>0</v>
      </c>
      <c r="X150" s="64">
        <v>0</v>
      </c>
      <c r="Y150" s="94">
        <v>0</v>
      </c>
      <c r="Z150" s="64">
        <v>0</v>
      </c>
      <c r="AA150" s="94">
        <v>0</v>
      </c>
      <c r="AB150" s="64">
        <v>0</v>
      </c>
      <c r="AC150" s="94">
        <v>0</v>
      </c>
      <c r="AD150" s="64">
        <v>0</v>
      </c>
      <c r="AE150" s="94">
        <v>-1</v>
      </c>
      <c r="AF150" s="95">
        <v>1998</v>
      </c>
      <c r="AG150" s="69">
        <v>0.0037438983170708612</v>
      </c>
    </row>
    <row r="151" spans="1:33" ht="14.5">
      <c r="A151" t="s">
        <v>11</v>
      </c>
      <c r="C151" s="31"/>
      <c r="D151" t="s">
        <v>329</v>
      </c>
      <c r="E151" t="s">
        <v>609</v>
      </c>
      <c r="F151" s="59" t="str">
        <f ca="1">E151</f>
        <v>Mecca Mornington</v>
      </c>
      <c r="G151" s="31"/>
      <c r="H151" s="64">
        <v>0</v>
      </c>
      <c r="I151" s="94">
        <v>0</v>
      </c>
      <c r="J151" s="64">
        <v>0</v>
      </c>
      <c r="K151" s="94">
        <v>0</v>
      </c>
      <c r="L151" s="64">
        <v>0</v>
      </c>
      <c r="M151" s="94">
        <v>0</v>
      </c>
      <c r="N151" s="64">
        <v>0</v>
      </c>
      <c r="O151" s="94">
        <v>0</v>
      </c>
      <c r="P151" s="64">
        <v>0</v>
      </c>
      <c r="Q151" s="94">
        <v>0</v>
      </c>
      <c r="R151" s="64">
        <v>0</v>
      </c>
      <c r="S151" s="94">
        <v>0</v>
      </c>
      <c r="T151" s="64">
        <v>0</v>
      </c>
      <c r="U151" s="94">
        <v>0</v>
      </c>
      <c r="V151" s="64">
        <v>0</v>
      </c>
      <c r="W151" s="94">
        <v>0</v>
      </c>
      <c r="X151" s="64">
        <v>0</v>
      </c>
      <c r="Y151" s="94">
        <v>0</v>
      </c>
      <c r="Z151" s="64">
        <v>-14</v>
      </c>
      <c r="AA151" s="94">
        <v>0</v>
      </c>
      <c r="AB151" s="64">
        <v>0</v>
      </c>
      <c r="AC151" s="94">
        <v>0</v>
      </c>
      <c r="AD151" s="64">
        <v>0</v>
      </c>
      <c r="AE151" s="94">
        <v>0</v>
      </c>
      <c r="AF151" s="95">
        <v>-14</v>
      </c>
      <c r="AG151" s="69">
        <v>-2.6233521741237265E-05</v>
      </c>
    </row>
    <row r="152" spans="1:33" ht="14.5">
      <c r="A152" t="s">
        <v>11</v>
      </c>
      <c r="C152" s="31"/>
      <c r="D152" t="s">
        <v>330</v>
      </c>
      <c r="E152" t="s">
        <v>610</v>
      </c>
      <c r="F152" s="59" t="str">
        <f ca="1">E152</f>
        <v>Melbourne Central Activation Space</v>
      </c>
      <c r="G152" s="31"/>
      <c r="H152" s="64">
        <v>0</v>
      </c>
      <c r="I152" s="94">
        <v>0</v>
      </c>
      <c r="J152" s="64">
        <v>0</v>
      </c>
      <c r="K152" s="94">
        <v>0</v>
      </c>
      <c r="L152" s="64">
        <v>0</v>
      </c>
      <c r="M152" s="94">
        <v>0</v>
      </c>
      <c r="N152" s="64">
        <v>0</v>
      </c>
      <c r="O152" s="94">
        <v>0</v>
      </c>
      <c r="P152" s="64">
        <v>0</v>
      </c>
      <c r="Q152" s="94">
        <v>0</v>
      </c>
      <c r="R152" s="64">
        <v>0</v>
      </c>
      <c r="S152" s="94">
        <v>0</v>
      </c>
      <c r="T152" s="64">
        <v>279.44999999999999</v>
      </c>
      <c r="U152" s="94">
        <v>0</v>
      </c>
      <c r="V152" s="64">
        <v>108</v>
      </c>
      <c r="W152" s="94">
        <v>0</v>
      </c>
      <c r="X152" s="64">
        <v>17.399999999999999</v>
      </c>
      <c r="Y152" s="94">
        <v>0</v>
      </c>
      <c r="Z152" s="64">
        <v>29</v>
      </c>
      <c r="AA152" s="94">
        <v>0</v>
      </c>
      <c r="AB152" s="64">
        <v>0</v>
      </c>
      <c r="AC152" s="94">
        <v>0</v>
      </c>
      <c r="AD152" s="64">
        <v>58</v>
      </c>
      <c r="AE152" s="94">
        <v>0</v>
      </c>
      <c r="AF152" s="95">
        <v>491.84999999999997</v>
      </c>
      <c r="AG152" s="69">
        <v>0.00092163983345911057</v>
      </c>
    </row>
    <row r="153" spans="1:33" ht="14.5">
      <c r="A153" t="s">
        <v>11</v>
      </c>
      <c r="C153" s="31"/>
      <c r="D153" t="s">
        <v>331</v>
      </c>
      <c r="E153" t="s">
        <v>611</v>
      </c>
      <c r="F153" s="59" t="str">
        <f ca="1">E153</f>
        <v>Mecca Adelaide Airport</v>
      </c>
      <c r="G153" s="31"/>
      <c r="H153" s="64">
        <v>0</v>
      </c>
      <c r="I153" s="94">
        <v>0</v>
      </c>
      <c r="J153" s="64">
        <v>0</v>
      </c>
      <c r="K153" s="94">
        <v>0</v>
      </c>
      <c r="L153" s="64">
        <v>0</v>
      </c>
      <c r="M153" s="94">
        <v>0</v>
      </c>
      <c r="N153" s="64">
        <v>0</v>
      </c>
      <c r="O153" s="94">
        <v>0</v>
      </c>
      <c r="P153" s="64">
        <v>0</v>
      </c>
      <c r="Q153" s="94">
        <v>0</v>
      </c>
      <c r="R153" s="64">
        <v>0</v>
      </c>
      <c r="S153" s="94">
        <v>0</v>
      </c>
      <c r="T153" s="64">
        <v>76</v>
      </c>
      <c r="U153" s="94">
        <v>0</v>
      </c>
      <c r="V153" s="64">
        <v>250.40000000000001</v>
      </c>
      <c r="W153" s="94">
        <v>0</v>
      </c>
      <c r="X153" s="64">
        <v>113</v>
      </c>
      <c r="Y153" s="94">
        <v>0</v>
      </c>
      <c r="Z153" s="64">
        <v>282.5</v>
      </c>
      <c r="AA153" s="94">
        <v>0</v>
      </c>
      <c r="AB153" s="64">
        <v>235</v>
      </c>
      <c r="AC153" s="94">
        <v>0</v>
      </c>
      <c r="AD153" s="64">
        <v>360</v>
      </c>
      <c r="AE153" s="94">
        <v>0</v>
      </c>
      <c r="AF153" s="95">
        <v>1316.9000000000001</v>
      </c>
      <c r="AG153" s="69">
        <v>0.0024676374843596682</v>
      </c>
    </row>
    <row r="154" spans="1:33" ht="14.5">
      <c r="A154" t="s">
        <v>11</v>
      </c>
      <c r="C154" s="31"/>
      <c r="D154" t="s">
        <v>332</v>
      </c>
      <c r="E154" t="s">
        <v>612</v>
      </c>
      <c r="F154" s="59" t="str">
        <f ca="1">E154</f>
        <v>Mecca Cairns</v>
      </c>
      <c r="G154" s="31"/>
      <c r="H154" s="64">
        <v>0</v>
      </c>
      <c r="I154" s="94">
        <v>0</v>
      </c>
      <c r="J154" s="64">
        <v>0</v>
      </c>
      <c r="K154" s="94">
        <v>0</v>
      </c>
      <c r="L154" s="64">
        <v>0</v>
      </c>
      <c r="M154" s="94">
        <v>0</v>
      </c>
      <c r="N154" s="64">
        <v>0</v>
      </c>
      <c r="O154" s="94">
        <v>0</v>
      </c>
      <c r="P154" s="64">
        <v>0</v>
      </c>
      <c r="Q154" s="94">
        <v>0</v>
      </c>
      <c r="R154" s="64">
        <v>0</v>
      </c>
      <c r="S154" s="94">
        <v>0</v>
      </c>
      <c r="T154" s="64">
        <v>0</v>
      </c>
      <c r="U154" s="94">
        <v>0</v>
      </c>
      <c r="V154" s="64">
        <v>0</v>
      </c>
      <c r="W154" s="94">
        <v>0</v>
      </c>
      <c r="X154" s="64">
        <v>0</v>
      </c>
      <c r="Y154" s="94">
        <v>0</v>
      </c>
      <c r="Z154" s="64">
        <v>34</v>
      </c>
      <c r="AA154" s="94">
        <v>0</v>
      </c>
      <c r="AB154" s="64">
        <v>255</v>
      </c>
      <c r="AC154" s="94">
        <v>0</v>
      </c>
      <c r="AD154" s="64">
        <v>494</v>
      </c>
      <c r="AE154" s="94">
        <v>0</v>
      </c>
      <c r="AF154" s="95">
        <v>783</v>
      </c>
      <c r="AG154" s="69">
        <v>0.0014672033945277699</v>
      </c>
    </row>
    <row r="155" spans="1:33" ht="14.5">
      <c r="A155" t="s">
        <v>11</v>
      </c>
      <c r="C155" s="31"/>
      <c r="D155" t="s">
        <v>333</v>
      </c>
      <c r="E155" t="s">
        <v>613</v>
      </c>
      <c r="F155" s="59" t="str">
        <f ca="1">E155</f>
        <v>Mecca Canberra</v>
      </c>
      <c r="G155" s="31"/>
      <c r="H155" s="64">
        <v>0</v>
      </c>
      <c r="I155" s="94">
        <v>0</v>
      </c>
      <c r="J155" s="64">
        <v>0</v>
      </c>
      <c r="K155" s="94">
        <v>0</v>
      </c>
      <c r="L155" s="64">
        <v>0</v>
      </c>
      <c r="M155" s="94">
        <v>0</v>
      </c>
      <c r="N155" s="64">
        <v>0</v>
      </c>
      <c r="O155" s="94">
        <v>0</v>
      </c>
      <c r="P155" s="64">
        <v>0</v>
      </c>
      <c r="Q155" s="94">
        <v>0</v>
      </c>
      <c r="R155" s="64">
        <v>0</v>
      </c>
      <c r="S155" s="94">
        <v>0</v>
      </c>
      <c r="T155" s="64">
        <v>0</v>
      </c>
      <c r="U155" s="94">
        <v>0</v>
      </c>
      <c r="V155" s="64">
        <v>0</v>
      </c>
      <c r="W155" s="94">
        <v>0</v>
      </c>
      <c r="X155" s="64">
        <v>458</v>
      </c>
      <c r="Y155" s="94">
        <v>0</v>
      </c>
      <c r="Z155" s="64">
        <v>617.20000000000005</v>
      </c>
      <c r="AA155" s="94">
        <v>0</v>
      </c>
      <c r="AB155" s="64">
        <v>324</v>
      </c>
      <c r="AC155" s="94">
        <v>0</v>
      </c>
      <c r="AD155" s="64">
        <v>906</v>
      </c>
      <c r="AE155" s="94">
        <v>0</v>
      </c>
      <c r="AF155" s="95">
        <v>2305.1999999999998</v>
      </c>
      <c r="AG155" s="69">
        <v>0.0043195367369928675</v>
      </c>
    </row>
    <row r="156" spans="1:33" ht="14.5">
      <c r="A156" t="s">
        <v>11</v>
      </c>
      <c r="C156" s="31"/>
      <c r="D156" t="s">
        <v>334</v>
      </c>
      <c r="E156" t="s">
        <v>614</v>
      </c>
      <c r="F156" s="59" t="str">
        <f ca="1">E156</f>
        <v>Mecca Chatswood Chase</v>
      </c>
      <c r="G156" s="31"/>
      <c r="H156" s="64">
        <v>0</v>
      </c>
      <c r="I156" s="94">
        <v>0</v>
      </c>
      <c r="J156" s="64">
        <v>0</v>
      </c>
      <c r="K156" s="94">
        <v>0</v>
      </c>
      <c r="L156" s="64">
        <v>0</v>
      </c>
      <c r="M156" s="94">
        <v>0</v>
      </c>
      <c r="N156" s="64">
        <v>0</v>
      </c>
      <c r="O156" s="94">
        <v>0</v>
      </c>
      <c r="P156" s="64">
        <v>0</v>
      </c>
      <c r="Q156" s="94">
        <v>0</v>
      </c>
      <c r="R156" s="64">
        <v>0</v>
      </c>
      <c r="S156" s="94">
        <v>0</v>
      </c>
      <c r="T156" s="64">
        <v>0</v>
      </c>
      <c r="U156" s="94">
        <v>0</v>
      </c>
      <c r="V156" s="64">
        <v>0</v>
      </c>
      <c r="W156" s="94">
        <v>0</v>
      </c>
      <c r="X156" s="64">
        <v>0</v>
      </c>
      <c r="Y156" s="94">
        <v>0</v>
      </c>
      <c r="Z156" s="64">
        <v>0</v>
      </c>
      <c r="AA156" s="94">
        <v>0</v>
      </c>
      <c r="AB156" s="64">
        <v>0</v>
      </c>
      <c r="AC156" s="94">
        <v>0</v>
      </c>
      <c r="AD156" s="64">
        <v>85</v>
      </c>
      <c r="AE156" s="94">
        <v>0</v>
      </c>
      <c r="AF156" s="95">
        <v>85</v>
      </c>
      <c r="AG156" s="69">
        <v>0.00015927495342894053</v>
      </c>
    </row>
    <row r="157" spans="1:33" ht="14.5">
      <c r="A157" t="s">
        <v>11</v>
      </c>
      <c r="C157" s="31"/>
      <c r="D157" t="s">
        <v>335</v>
      </c>
      <c r="E157" t="s">
        <v>615</v>
      </c>
      <c r="F157" s="59" t="str">
        <f ca="1">E157</f>
        <v>Mecca Balmain</v>
      </c>
      <c r="G157" s="31"/>
      <c r="H157" s="64">
        <v>0</v>
      </c>
      <c r="I157" s="94">
        <v>0</v>
      </c>
      <c r="J157" s="64">
        <v>0</v>
      </c>
      <c r="K157" s="94">
        <v>0</v>
      </c>
      <c r="L157" s="64">
        <v>0</v>
      </c>
      <c r="M157" s="94">
        <v>0</v>
      </c>
      <c r="N157" s="64">
        <v>0</v>
      </c>
      <c r="O157" s="94">
        <v>0</v>
      </c>
      <c r="P157" s="64">
        <v>0</v>
      </c>
      <c r="Q157" s="94">
        <v>0</v>
      </c>
      <c r="R157" s="64">
        <v>0</v>
      </c>
      <c r="S157" s="94">
        <v>0</v>
      </c>
      <c r="T157" s="64">
        <v>0</v>
      </c>
      <c r="U157" s="94">
        <v>0</v>
      </c>
      <c r="V157" s="64">
        <v>0</v>
      </c>
      <c r="W157" s="94">
        <v>0</v>
      </c>
      <c r="X157" s="64">
        <v>0</v>
      </c>
      <c r="Y157" s="94">
        <v>0</v>
      </c>
      <c r="Z157" s="64">
        <v>0</v>
      </c>
      <c r="AA157" s="94">
        <v>0</v>
      </c>
      <c r="AB157" s="64">
        <v>0</v>
      </c>
      <c r="AC157" s="94">
        <v>0</v>
      </c>
      <c r="AD157" s="64">
        <v>14</v>
      </c>
      <c r="AE157" s="94">
        <v>0</v>
      </c>
      <c r="AF157" s="95">
        <v>14</v>
      </c>
      <c r="AG157" s="69">
        <v>2.6233521741237265E-05</v>
      </c>
    </row>
    <row r="158" spans="1:33" ht="14.5">
      <c r="A158" t="s">
        <v>11</v>
      </c>
      <c r="C158" s="31"/>
      <c r="D158" t="s">
        <v>336</v>
      </c>
      <c r="E158" t="s">
        <v>616</v>
      </c>
      <c r="F158" s="59" t="str">
        <f ca="1">E158</f>
        <v>Mecca Mini Mart Highpoint</v>
      </c>
      <c r="G158" s="31"/>
      <c r="H158" s="64">
        <v>0</v>
      </c>
      <c r="I158" s="94">
        <v>0</v>
      </c>
      <c r="J158" s="64">
        <v>0</v>
      </c>
      <c r="K158" s="94">
        <v>0</v>
      </c>
      <c r="L158" s="64">
        <v>0</v>
      </c>
      <c r="M158" s="94">
        <v>0</v>
      </c>
      <c r="N158" s="64">
        <v>0</v>
      </c>
      <c r="O158" s="94">
        <v>0</v>
      </c>
      <c r="P158" s="64">
        <v>0</v>
      </c>
      <c r="Q158" s="94">
        <v>0</v>
      </c>
      <c r="R158" s="64">
        <v>0</v>
      </c>
      <c r="S158" s="94">
        <v>0</v>
      </c>
      <c r="T158" s="64">
        <v>0</v>
      </c>
      <c r="U158" s="94">
        <v>0</v>
      </c>
      <c r="V158" s="64">
        <v>0</v>
      </c>
      <c r="W158" s="94">
        <v>0</v>
      </c>
      <c r="X158" s="64">
        <v>0</v>
      </c>
      <c r="Y158" s="94">
        <v>0</v>
      </c>
      <c r="Z158" s="64">
        <v>0</v>
      </c>
      <c r="AA158" s="94">
        <v>0</v>
      </c>
      <c r="AB158" s="64">
        <v>0</v>
      </c>
      <c r="AC158" s="94">
        <v>0</v>
      </c>
      <c r="AD158" s="64">
        <v>348</v>
      </c>
      <c r="AE158" s="94">
        <v>0</v>
      </c>
      <c r="AF158" s="95">
        <v>348</v>
      </c>
      <c r="AG158" s="69">
        <v>0.00065209039756789768</v>
      </c>
    </row>
    <row r="159" spans="1:33" ht="14.5">
      <c r="A159" t="s">
        <v>11</v>
      </c>
      <c r="C159" s="31"/>
      <c r="D159" t="s">
        <v>337</v>
      </c>
      <c r="E159" t="s">
        <v>617</v>
      </c>
      <c r="F159" s="59" t="str">
        <f ca="1">E159</f>
        <v>Mecca Penrith Westfield POP</v>
      </c>
      <c r="G159" s="31"/>
      <c r="H159" s="64">
        <v>0</v>
      </c>
      <c r="I159" s="94">
        <v>0</v>
      </c>
      <c r="J159" s="64">
        <v>0</v>
      </c>
      <c r="K159" s="94">
        <v>0</v>
      </c>
      <c r="L159" s="64">
        <v>0</v>
      </c>
      <c r="M159" s="94">
        <v>0</v>
      </c>
      <c r="N159" s="64">
        <v>5</v>
      </c>
      <c r="O159" s="94">
        <v>0</v>
      </c>
      <c r="P159" s="64">
        <v>15</v>
      </c>
      <c r="Q159" s="94">
        <v>0</v>
      </c>
      <c r="R159" s="64">
        <v>0</v>
      </c>
      <c r="S159" s="94">
        <v>0</v>
      </c>
      <c r="T159" s="64">
        <v>0</v>
      </c>
      <c r="U159" s="94">
        <v>0</v>
      </c>
      <c r="V159" s="64">
        <v>0</v>
      </c>
      <c r="W159" s="94">
        <v>0</v>
      </c>
      <c r="X159" s="64">
        <v>0</v>
      </c>
      <c r="Y159" s="94">
        <v>0</v>
      </c>
      <c r="Z159" s="64">
        <v>0</v>
      </c>
      <c r="AA159" s="94">
        <v>0</v>
      </c>
      <c r="AB159" s="64">
        <v>0</v>
      </c>
      <c r="AC159" s="94">
        <v>0</v>
      </c>
      <c r="AD159" s="64">
        <v>0</v>
      </c>
      <c r="AE159" s="94">
        <v>0</v>
      </c>
      <c r="AF159" s="95">
        <v>20</v>
      </c>
      <c r="AG159" s="69">
        <v>3.7476459630338948E-05</v>
      </c>
    </row>
    <row r="160" spans="1:33" ht="14.5">
      <c r="A160" t="s">
        <v>11</v>
      </c>
      <c r="C160" s="31"/>
      <c r="D160" t="s">
        <v>338</v>
      </c>
      <c r="E160" t="s">
        <v>618</v>
      </c>
      <c r="F160" s="59" t="str">
        <f ca="1">E160</f>
        <v>Event 1 POP</v>
      </c>
      <c r="G160" s="31"/>
      <c r="H160" s="64">
        <v>0</v>
      </c>
      <c r="I160" s="94">
        <v>0</v>
      </c>
      <c r="J160" s="64">
        <v>0</v>
      </c>
      <c r="K160" s="94">
        <v>0</v>
      </c>
      <c r="L160" s="64">
        <v>0</v>
      </c>
      <c r="M160" s="94">
        <v>0</v>
      </c>
      <c r="N160" s="64">
        <v>7.7999999999999998</v>
      </c>
      <c r="O160" s="94">
        <v>0</v>
      </c>
      <c r="P160" s="64">
        <v>0</v>
      </c>
      <c r="Q160" s="94">
        <v>0</v>
      </c>
      <c r="R160" s="64">
        <v>0</v>
      </c>
      <c r="S160" s="94">
        <v>0</v>
      </c>
      <c r="T160" s="64">
        <v>0</v>
      </c>
      <c r="U160" s="94">
        <v>0</v>
      </c>
      <c r="V160" s="64">
        <v>0</v>
      </c>
      <c r="W160" s="94">
        <v>0</v>
      </c>
      <c r="X160" s="64">
        <v>0</v>
      </c>
      <c r="Y160" s="94">
        <v>0</v>
      </c>
      <c r="Z160" s="64">
        <v>0</v>
      </c>
      <c r="AA160" s="94">
        <v>0</v>
      </c>
      <c r="AB160" s="64">
        <v>0</v>
      </c>
      <c r="AC160" s="94">
        <v>0</v>
      </c>
      <c r="AD160" s="64">
        <v>0</v>
      </c>
      <c r="AE160" s="94">
        <v>0</v>
      </c>
      <c r="AF160" s="95">
        <v>7.7999999999999998</v>
      </c>
      <c r="AG160" s="69">
        <v>1.461581925583219E-05</v>
      </c>
    </row>
    <row r="161" spans="1:33" ht="14.5">
      <c r="A161">
        <v>1</v>
      </c>
      <c r="C161" s="31"/>
      <c r="D161" s="153" t="s">
        <v>339</v>
      </c>
      <c r="E161" s="100" t="s">
        <v>339</v>
      </c>
      <c r="F161" s="126" t="str">
        <f ca="1">E161</f>
        <v>Mecca Stores Brand</v>
      </c>
      <c r="G161" s="127"/>
      <c r="H161" s="101">
        <v>29761.579999999998</v>
      </c>
      <c r="I161" s="102">
        <v>0.97703282789700296</v>
      </c>
      <c r="J161" s="101">
        <v>24532.759999999995</v>
      </c>
      <c r="K161" s="102">
        <v>0.71432844039518018</v>
      </c>
      <c r="L161" s="101">
        <v>27571.459999999995</v>
      </c>
      <c r="M161" s="102">
        <v>0.37453735831598423</v>
      </c>
      <c r="N161" s="101">
        <v>24013.929999999997</v>
      </c>
      <c r="O161" s="102">
        <v>0.42925852013520077</v>
      </c>
      <c r="P161" s="101">
        <v>19009.590000000004</v>
      </c>
      <c r="Q161" s="102">
        <v>0.69861793318148813</v>
      </c>
      <c r="R161" s="101">
        <v>24582.279999999999</v>
      </c>
      <c r="S161" s="102">
        <v>0.083081570331428267</v>
      </c>
      <c r="T161" s="101">
        <v>22441.350000000002</v>
      </c>
      <c r="U161" s="102">
        <v>0.0096232361336996124</v>
      </c>
      <c r="V161" s="101">
        <v>17962.700000000001</v>
      </c>
      <c r="W161" s="102">
        <v>-0.10126419511443384</v>
      </c>
      <c r="X161" s="101">
        <v>21366.549999999999</v>
      </c>
      <c r="Y161" s="102">
        <v>-0.27453664028727165</v>
      </c>
      <c r="Z161" s="101">
        <v>17165.580000000002</v>
      </c>
      <c r="AA161" s="102">
        <v>-0.36882478520912093</v>
      </c>
      <c r="AB161" s="101">
        <v>15232.479999999998</v>
      </c>
      <c r="AC161" s="102">
        <v>-0.30968517614664021</v>
      </c>
      <c r="AD161" s="101">
        <v>37117.130000000012</v>
      </c>
      <c r="AE161" s="102">
        <v>-0.25701501518212616</v>
      </c>
      <c r="AF161" s="101">
        <v>280757.38999999996</v>
      </c>
      <c r="AG161" s="102">
        <v>0.52608964961271631</v>
      </c>
    </row>
    <row r="162" spans="1:33" ht="14.5">
      <c r="A162" t="s">
        <v>11</v>
      </c>
      <c r="C162" s="31"/>
      <c r="D162" t="s">
        <v>340</v>
      </c>
      <c r="E162" t="s">
        <v>619</v>
      </c>
      <c r="F162" s="59" t="str">
        <f ca="1">E162</f>
        <v>Internet Mail Order</v>
      </c>
      <c r="G162" s="31"/>
      <c r="H162" s="64">
        <v>5984.6000000000004</v>
      </c>
      <c r="I162" s="94">
        <v>0.49757269405935639</v>
      </c>
      <c r="J162" s="64">
        <v>5207.6000000000004</v>
      </c>
      <c r="K162" s="94">
        <v>0.33782047988490982</v>
      </c>
      <c r="L162" s="64">
        <v>5103</v>
      </c>
      <c r="M162" s="94">
        <v>-0.06664959578593109</v>
      </c>
      <c r="N162" s="64">
        <v>3743.1999999999998</v>
      </c>
      <c r="O162" s="94">
        <v>-0.040598728726676261</v>
      </c>
      <c r="P162" s="64">
        <v>6642.6000000000004</v>
      </c>
      <c r="Q162" s="94">
        <v>0.85516393900463605</v>
      </c>
      <c r="R162" s="64">
        <v>4368.6000000000004</v>
      </c>
      <c r="S162" s="94">
        <v>-0.26086220898754725</v>
      </c>
      <c r="T162" s="64">
        <v>9890.1999999999989</v>
      </c>
      <c r="U162" s="94">
        <v>0.44724750504843569</v>
      </c>
      <c r="V162" s="64">
        <v>6468.7999999999993</v>
      </c>
      <c r="W162" s="94">
        <v>0.22149628007099947</v>
      </c>
      <c r="X162" s="64">
        <v>6396</v>
      </c>
      <c r="Y162" s="94">
        <v>0.17375027526976441</v>
      </c>
      <c r="Z162" s="64">
        <v>8623.3999999999996</v>
      </c>
      <c r="AA162" s="94">
        <v>0.46721339367747644</v>
      </c>
      <c r="AB162" s="64">
        <v>7025.2499999999991</v>
      </c>
      <c r="AC162" s="94">
        <v>0.17928724904317453</v>
      </c>
      <c r="AD162" s="64">
        <v>11277.799999999999</v>
      </c>
      <c r="AE162" s="94">
        <v>0.46510600706713784</v>
      </c>
      <c r="AF162" s="95">
        <v>80731.049999999988</v>
      </c>
      <c r="AG162" s="69">
        <v>0.15127569681199374</v>
      </c>
    </row>
    <row r="163" spans="1:33" ht="14.5">
      <c r="A163" t="s">
        <v>11</v>
      </c>
      <c r="C163" s="31"/>
      <c r="D163" t="s">
        <v>341</v>
      </c>
      <c r="E163" t="s">
        <v>620</v>
      </c>
      <c r="F163" s="59" t="str">
        <f ca="1">E163</f>
        <v>New Zealand Online Store</v>
      </c>
      <c r="G163" s="31"/>
      <c r="H163" s="64">
        <v>1588.4000000000001</v>
      </c>
      <c r="I163" s="94">
        <v>1.6810248793167477</v>
      </c>
      <c r="J163" s="64">
        <v>1353.3299999999999</v>
      </c>
      <c r="K163" s="94">
        <v>0.89168448861491978</v>
      </c>
      <c r="L163" s="64">
        <v>1400.78</v>
      </c>
      <c r="M163" s="94">
        <v>0.8425497211406926</v>
      </c>
      <c r="N163" s="64">
        <v>1312.6500000000001</v>
      </c>
      <c r="O163" s="94">
        <v>0.40430926577728332</v>
      </c>
      <c r="P163" s="64">
        <v>1018.8499999999999</v>
      </c>
      <c r="Q163" s="94">
        <v>0.22673200568304952</v>
      </c>
      <c r="R163" s="64">
        <v>1099.6900000000001</v>
      </c>
      <c r="S163" s="94">
        <v>-0.45405035074741712</v>
      </c>
      <c r="T163" s="64">
        <v>1942.8700000000003</v>
      </c>
      <c r="U163" s="94">
        <v>0.072525931691591092</v>
      </c>
      <c r="V163" s="64">
        <v>1956.9100000000003</v>
      </c>
      <c r="W163" s="94">
        <v>0.39806248347895684</v>
      </c>
      <c r="X163" s="64">
        <v>1681.1999999999998</v>
      </c>
      <c r="Y163" s="94">
        <v>-0.011977103633094012</v>
      </c>
      <c r="Z163" s="64">
        <v>1221.95</v>
      </c>
      <c r="AA163" s="94">
        <v>-0.33865712677519916</v>
      </c>
      <c r="AB163" s="64">
        <v>1450.51</v>
      </c>
      <c r="AC163" s="94">
        <v>-0.14410050037764352</v>
      </c>
      <c r="AD163" s="64">
        <v>2556.9200000000001</v>
      </c>
      <c r="AE163" s="94">
        <v>1.1345376832403917</v>
      </c>
      <c r="AF163" s="95">
        <v>18584.060000000001</v>
      </c>
      <c r="AG163" s="69">
        <v>0.034823238717889844</v>
      </c>
    </row>
    <row r="164" spans="1:33" ht="14.5">
      <c r="A164" t="s">
        <v>11</v>
      </c>
      <c r="C164" s="31"/>
      <c r="D164" t="s">
        <v>342</v>
      </c>
      <c r="E164" t="s">
        <v>621</v>
      </c>
      <c r="F164" s="59" t="str">
        <f ca="1">E164</f>
        <v>Magic Circle</v>
      </c>
      <c r="G164" s="31"/>
      <c r="H164" s="64">
        <v>0</v>
      </c>
      <c r="I164" s="94">
        <v>0</v>
      </c>
      <c r="J164" s="64">
        <v>0</v>
      </c>
      <c r="K164" s="94">
        <v>0</v>
      </c>
      <c r="L164" s="64">
        <v>0</v>
      </c>
      <c r="M164" s="94">
        <v>0</v>
      </c>
      <c r="N164" s="64">
        <v>0</v>
      </c>
      <c r="O164" s="94">
        <v>0</v>
      </c>
      <c r="P164" s="64">
        <v>0</v>
      </c>
      <c r="Q164" s="94">
        <v>0</v>
      </c>
      <c r="R164" s="64">
        <v>0</v>
      </c>
      <c r="S164" s="94">
        <v>0</v>
      </c>
      <c r="T164" s="64">
        <v>18</v>
      </c>
      <c r="U164" s="94">
        <v>0</v>
      </c>
      <c r="V164" s="64">
        <v>0</v>
      </c>
      <c r="W164" s="94">
        <v>0</v>
      </c>
      <c r="X164" s="64">
        <v>0</v>
      </c>
      <c r="Y164" s="94">
        <v>0</v>
      </c>
      <c r="Z164" s="64">
        <v>0</v>
      </c>
      <c r="AA164" s="94">
        <v>0</v>
      </c>
      <c r="AB164" s="64">
        <v>0</v>
      </c>
      <c r="AC164" s="94">
        <v>0</v>
      </c>
      <c r="AD164" s="64">
        <v>0</v>
      </c>
      <c r="AE164" s="94">
        <v>-1</v>
      </c>
      <c r="AF164" s="95">
        <v>18</v>
      </c>
      <c r="AG164" s="69">
        <v>3.3728813667305055E-05</v>
      </c>
    </row>
    <row r="165" spans="1:33" ht="14.5">
      <c r="A165">
        <v>1</v>
      </c>
      <c r="C165" s="31"/>
      <c r="D165" s="153" t="s">
        <v>343</v>
      </c>
      <c r="E165" s="100" t="s">
        <v>343</v>
      </c>
      <c r="F165" s="126" t="str">
        <f ca="1">E165</f>
        <v>Online Stores Brand</v>
      </c>
      <c r="G165" s="127"/>
      <c r="H165" s="101">
        <v>7573</v>
      </c>
      <c r="I165" s="102">
        <v>0.65037287574150193</v>
      </c>
      <c r="J165" s="101">
        <v>6560.9300000000003</v>
      </c>
      <c r="K165" s="102">
        <v>0.4238098441626646</v>
      </c>
      <c r="L165" s="101">
        <v>6503.7799999999997</v>
      </c>
      <c r="M165" s="102">
        <v>0.0443410344849735</v>
      </c>
      <c r="N165" s="101">
        <v>5055.8500000000004</v>
      </c>
      <c r="O165" s="102">
        <v>0.045389789365076504</v>
      </c>
      <c r="P165" s="101">
        <v>7661.4500000000007</v>
      </c>
      <c r="Q165" s="102">
        <v>0.73684127005717348</v>
      </c>
      <c r="R165" s="101">
        <v>5468.2900000000009</v>
      </c>
      <c r="S165" s="102">
        <v>-0.30996621941355279</v>
      </c>
      <c r="T165" s="101">
        <v>11851.07</v>
      </c>
      <c r="U165" s="102">
        <v>0.37081231514500973</v>
      </c>
      <c r="V165" s="101">
        <v>8425.7099999999991</v>
      </c>
      <c r="W165" s="102">
        <v>0.25840822160456278</v>
      </c>
      <c r="X165" s="101">
        <v>8077.1999999999998</v>
      </c>
      <c r="Y165" s="102">
        <v>0.12955509748586869</v>
      </c>
      <c r="Z165" s="101">
        <v>9845.3500000000004</v>
      </c>
      <c r="AA165" s="102">
        <v>0.2744657660503193</v>
      </c>
      <c r="AB165" s="101">
        <v>8475.7599999999984</v>
      </c>
      <c r="AC165" s="102">
        <v>0.10766448159416177</v>
      </c>
      <c r="AD165" s="101">
        <v>13834.719999999999</v>
      </c>
      <c r="AE165" s="102">
        <v>0.55280891814112609</v>
      </c>
      <c r="AF165" s="101">
        <v>99333.109999999971</v>
      </c>
      <c r="AG165" s="102">
        <v>0.18613266434355089</v>
      </c>
    </row>
    <row r="166" spans="1:33" ht="14.5">
      <c r="A166" t="s">
        <v>11</v>
      </c>
      <c r="C166" s="31"/>
      <c r="D166" t="s">
        <v>344</v>
      </c>
      <c r="E166" t="s">
        <v>622</v>
      </c>
      <c r="F166" s="59" t="str">
        <f ca="1">E166</f>
        <v>Mecca Myer Chadstone</v>
      </c>
      <c r="G166" s="31"/>
      <c r="H166" s="64">
        <v>85</v>
      </c>
      <c r="I166" s="94">
        <v>0.34920634920634919</v>
      </c>
      <c r="J166" s="64">
        <v>32</v>
      </c>
      <c r="K166" s="94">
        <v>0.18518518518518517</v>
      </c>
      <c r="L166" s="64">
        <v>24</v>
      </c>
      <c r="M166" s="94">
        <v>0.64383561643835618</v>
      </c>
      <c r="N166" s="64">
        <v>0</v>
      </c>
      <c r="O166" s="94">
        <v>-1</v>
      </c>
      <c r="P166" s="64">
        <v>0</v>
      </c>
      <c r="Q166" s="94">
        <v>-1</v>
      </c>
      <c r="R166" s="64">
        <v>28.800000000000001</v>
      </c>
      <c r="S166" s="94">
        <v>-0.80273972602739729</v>
      </c>
      <c r="T166" s="64">
        <v>6</v>
      </c>
      <c r="U166" s="94">
        <v>-0.80645161290322576</v>
      </c>
      <c r="V166" s="64">
        <v>26</v>
      </c>
      <c r="W166" s="94">
        <v>0.083333333333333329</v>
      </c>
      <c r="X166" s="64">
        <v>13</v>
      </c>
      <c r="Y166" s="94">
        <v>0</v>
      </c>
      <c r="Z166" s="64">
        <v>0</v>
      </c>
      <c r="AA166" s="94">
        <v>-1</v>
      </c>
      <c r="AB166" s="64">
        <v>6</v>
      </c>
      <c r="AC166" s="94">
        <v>0</v>
      </c>
      <c r="AD166" s="64">
        <v>0</v>
      </c>
      <c r="AE166" s="94">
        <v>-1</v>
      </c>
      <c r="AF166" s="95">
        <v>220.80000000000001</v>
      </c>
      <c r="AG166" s="69">
        <v>0.00041374011431894201</v>
      </c>
    </row>
    <row r="167" spans="1:33" ht="14.5">
      <c r="A167" t="s">
        <v>11</v>
      </c>
      <c r="C167" s="31"/>
      <c r="D167" t="s">
        <v>345</v>
      </c>
      <c r="E167" t="s">
        <v>623</v>
      </c>
      <c r="F167" s="59" t="str">
        <f ca="1">E167</f>
        <v>Mecca Myer Chatswood</v>
      </c>
      <c r="G167" s="31"/>
      <c r="H167" s="64">
        <v>0</v>
      </c>
      <c r="I167" s="94">
        <v>0</v>
      </c>
      <c r="J167" s="64">
        <v>0</v>
      </c>
      <c r="K167" s="94">
        <v>0</v>
      </c>
      <c r="L167" s="64">
        <v>0</v>
      </c>
      <c r="M167" s="94">
        <v>-1</v>
      </c>
      <c r="N167" s="64">
        <v>0</v>
      </c>
      <c r="O167" s="94">
        <v>-1</v>
      </c>
      <c r="P167" s="64">
        <v>0</v>
      </c>
      <c r="Q167" s="94">
        <v>0</v>
      </c>
      <c r="R167" s="64">
        <v>13</v>
      </c>
      <c r="S167" s="94">
        <v>0</v>
      </c>
      <c r="T167" s="64">
        <v>13</v>
      </c>
      <c r="U167" s="94">
        <v>1.1666666666666667</v>
      </c>
      <c r="V167" s="64">
        <v>0</v>
      </c>
      <c r="W167" s="94">
        <v>0</v>
      </c>
      <c r="X167" s="64">
        <v>0</v>
      </c>
      <c r="Y167" s="94">
        <v>-1</v>
      </c>
      <c r="Z167" s="64">
        <v>0</v>
      </c>
      <c r="AA167" s="94">
        <v>0</v>
      </c>
      <c r="AB167" s="64">
        <v>0</v>
      </c>
      <c r="AC167" s="94">
        <v>0</v>
      </c>
      <c r="AD167" s="64">
        <v>0</v>
      </c>
      <c r="AE167" s="94">
        <v>-1</v>
      </c>
      <c r="AF167" s="95">
        <v>26</v>
      </c>
      <c r="AG167" s="69">
        <v>4.8719397519440636E-05</v>
      </c>
    </row>
    <row r="168" spans="1:33" ht="14.5">
      <c r="A168" t="s">
        <v>11</v>
      </c>
      <c r="C168" s="31"/>
      <c r="D168" t="s">
        <v>346</v>
      </c>
      <c r="E168" t="s">
        <v>624</v>
      </c>
      <c r="F168" s="59" t="str">
        <f ca="1">E168</f>
        <v>Mecca Myer Perth</v>
      </c>
      <c r="G168" s="31"/>
      <c r="H168" s="64">
        <v>57</v>
      </c>
      <c r="I168" s="94">
        <v>-0.20168067226890762</v>
      </c>
      <c r="J168" s="64">
        <v>138</v>
      </c>
      <c r="K168" s="94">
        <v>0.63895486935866974</v>
      </c>
      <c r="L168" s="64">
        <v>85</v>
      </c>
      <c r="M168" s="94">
        <v>0.44557823129251706</v>
      </c>
      <c r="N168" s="64">
        <v>63</v>
      </c>
      <c r="O168" s="94">
        <v>0.65789473684210531</v>
      </c>
      <c r="P168" s="64">
        <v>5</v>
      </c>
      <c r="Q168" s="94">
        <v>-0.87179487179487181</v>
      </c>
      <c r="R168" s="64">
        <v>36</v>
      </c>
      <c r="S168" s="94">
        <v>-0.58041958041958042</v>
      </c>
      <c r="T168" s="64">
        <v>48</v>
      </c>
      <c r="U168" s="94">
        <v>-0.36842105263157893</v>
      </c>
      <c r="V168" s="64">
        <v>24</v>
      </c>
      <c r="W168" s="94">
        <v>-0.25</v>
      </c>
      <c r="X168" s="64">
        <v>6</v>
      </c>
      <c r="Y168" s="94">
        <v>-0.96666666666666667</v>
      </c>
      <c r="Z168" s="64">
        <v>34</v>
      </c>
      <c r="AA168" s="94">
        <v>-0.61363636363636365</v>
      </c>
      <c r="AB168" s="64">
        <v>40</v>
      </c>
      <c r="AC168" s="94">
        <v>-0.5</v>
      </c>
      <c r="AD168" s="64">
        <v>31</v>
      </c>
      <c r="AE168" s="94">
        <v>-0.78620689655172415</v>
      </c>
      <c r="AF168" s="95">
        <v>567</v>
      </c>
      <c r="AG168" s="69">
        <v>0.0010624576305201092</v>
      </c>
    </row>
    <row r="169" spans="1:33" ht="14.5">
      <c r="A169">
        <v>2</v>
      </c>
      <c r="C169" s="31"/>
      <c r="D169" t="s">
        <v>347</v>
      </c>
      <c r="E169" t="s">
        <v>625</v>
      </c>
      <c r="F169" s="59" t="str">
        <f ca="1">E169</f>
        <v>Myer Melbourne</v>
      </c>
      <c r="G169" s="31"/>
      <c r="H169" s="64">
        <v>707</v>
      </c>
      <c r="I169" s="94">
        <v>1.1888544891640866</v>
      </c>
      <c r="J169" s="64">
        <v>610.70000000000005</v>
      </c>
      <c r="K169" s="94">
        <v>0.058405545927209784</v>
      </c>
      <c r="L169" s="64">
        <v>686</v>
      </c>
      <c r="M169" s="94">
        <v>1.1833227243793762</v>
      </c>
      <c r="N169" s="64">
        <v>566.29999999999995</v>
      </c>
      <c r="O169" s="94">
        <v>0.29677123883672996</v>
      </c>
      <c r="P169" s="64">
        <v>605.79999999999995</v>
      </c>
      <c r="Q169" s="94">
        <v>1.2125639152666177</v>
      </c>
      <c r="R169" s="64">
        <v>624.60000000000002</v>
      </c>
      <c r="S169" s="94">
        <v>0.10042283298097274</v>
      </c>
      <c r="T169" s="64">
        <v>448.80000000000001</v>
      </c>
      <c r="U169" s="94">
        <v>0.060992907801418465</v>
      </c>
      <c r="V169" s="64">
        <v>317.80000000000001</v>
      </c>
      <c r="W169" s="94">
        <v>-0.25469043151969972</v>
      </c>
      <c r="X169" s="64">
        <v>195.80000000000001</v>
      </c>
      <c r="Y169" s="94">
        <v>-0.52636671504596033</v>
      </c>
      <c r="Z169" s="64">
        <v>0</v>
      </c>
      <c r="AA169" s="94">
        <v>-1</v>
      </c>
      <c r="AB169" s="64">
        <v>0</v>
      </c>
      <c r="AC169" s="94">
        <v>-1</v>
      </c>
      <c r="AD169" s="64">
        <v>0</v>
      </c>
      <c r="AE169" s="94">
        <v>-1</v>
      </c>
      <c r="AF169" s="95">
        <v>4762.8000000000002</v>
      </c>
      <c r="AG169" s="69">
        <v>0.0089246440963689187</v>
      </c>
    </row>
    <row r="170" spans="1:33" ht="14.5">
      <c r="A170">
        <v>2</v>
      </c>
      <c r="C170" s="31"/>
      <c r="D170" t="s">
        <v>348</v>
      </c>
      <c r="E170" t="s">
        <v>626</v>
      </c>
      <c r="F170" s="59" t="str">
        <f ca="1">E170</f>
        <v>Myer Sydney</v>
      </c>
      <c r="G170" s="31"/>
      <c r="H170" s="64">
        <v>95</v>
      </c>
      <c r="I170" s="94">
        <v>-0.32142857142857145</v>
      </c>
      <c r="J170" s="64">
        <v>18</v>
      </c>
      <c r="K170" s="94">
        <v>-0.51351351351351349</v>
      </c>
      <c r="L170" s="64">
        <v>130.40000000000001</v>
      </c>
      <c r="M170" s="94">
        <v>1.9502262443438914</v>
      </c>
      <c r="N170" s="64">
        <v>10</v>
      </c>
      <c r="O170" s="94">
        <v>0.66666666666666663</v>
      </c>
      <c r="P170" s="64">
        <v>0</v>
      </c>
      <c r="Q170" s="94">
        <v>-1</v>
      </c>
      <c r="R170" s="64">
        <v>18</v>
      </c>
      <c r="S170" s="94">
        <v>-0.95463709677419351</v>
      </c>
      <c r="T170" s="64">
        <v>6</v>
      </c>
      <c r="U170" s="94">
        <v>-0.96875</v>
      </c>
      <c r="V170" s="64">
        <v>18</v>
      </c>
      <c r="W170" s="94">
        <v>-0.91428571428571426</v>
      </c>
      <c r="X170" s="64">
        <v>47.399999999999999</v>
      </c>
      <c r="Y170" s="94">
        <v>-0.84885204081632659</v>
      </c>
      <c r="Z170" s="64">
        <v>30</v>
      </c>
      <c r="AA170" s="94">
        <v>-0.82404692082111441</v>
      </c>
      <c r="AB170" s="64">
        <v>6</v>
      </c>
      <c r="AC170" s="94">
        <v>-0.97979797979797978</v>
      </c>
      <c r="AD170" s="64">
        <v>68</v>
      </c>
      <c r="AE170" s="94">
        <v>-0.89457364341085266</v>
      </c>
      <c r="AF170" s="95">
        <v>446.79999999999995</v>
      </c>
      <c r="AG170" s="69">
        <v>0.00083722410814177203</v>
      </c>
    </row>
    <row r="171" spans="1:33" ht="14.5">
      <c r="A171" t="s">
        <v>11</v>
      </c>
      <c r="C171" s="31"/>
      <c r="D171" t="s">
        <v>349</v>
      </c>
      <c r="E171" t="s">
        <v>627</v>
      </c>
      <c r="F171" s="59" t="str">
        <f ca="1">E171</f>
        <v>Mecca Myer Warringah</v>
      </c>
      <c r="G171" s="31"/>
      <c r="H171" s="64">
        <v>39</v>
      </c>
      <c r="I171" s="94">
        <v>0.11428571428571428</v>
      </c>
      <c r="J171" s="64">
        <v>0</v>
      </c>
      <c r="K171" s="94">
        <v>-1</v>
      </c>
      <c r="L171" s="64">
        <v>57</v>
      </c>
      <c r="M171" s="94">
        <v>-0.12037037037037034</v>
      </c>
      <c r="N171" s="64">
        <v>13</v>
      </c>
      <c r="O171" s="94">
        <v>0</v>
      </c>
      <c r="P171" s="64">
        <v>11.699999999999999</v>
      </c>
      <c r="Q171" s="94">
        <v>-0.55000000000000004</v>
      </c>
      <c r="R171" s="64">
        <v>0</v>
      </c>
      <c r="S171" s="94">
        <v>-1</v>
      </c>
      <c r="T171" s="64">
        <v>36</v>
      </c>
      <c r="U171" s="94">
        <v>-0.076923076923076927</v>
      </c>
      <c r="V171" s="64">
        <v>18</v>
      </c>
      <c r="W171" s="94">
        <v>-0.7857142857142857</v>
      </c>
      <c r="X171" s="64">
        <v>0</v>
      </c>
      <c r="Y171" s="94">
        <v>-1</v>
      </c>
      <c r="Z171" s="64">
        <v>0</v>
      </c>
      <c r="AA171" s="94">
        <v>-1</v>
      </c>
      <c r="AB171" s="64">
        <v>0</v>
      </c>
      <c r="AC171" s="94">
        <v>-1</v>
      </c>
      <c r="AD171" s="64">
        <v>0</v>
      </c>
      <c r="AE171" s="94">
        <v>-1</v>
      </c>
      <c r="AF171" s="95">
        <v>174.69999999999999</v>
      </c>
      <c r="AG171" s="69">
        <v>0.00032735687487101071</v>
      </c>
    </row>
    <row r="172" spans="1:33" ht="14.5">
      <c r="A172" t="s">
        <v>11</v>
      </c>
      <c r="C172" s="31"/>
      <c r="D172" t="s">
        <v>350</v>
      </c>
      <c r="E172" t="s">
        <v>628</v>
      </c>
      <c r="F172" s="59" t="str">
        <f ca="1">E172</f>
        <v>Mecca Myer Adelaide</v>
      </c>
      <c r="G172" s="31"/>
      <c r="H172" s="64">
        <v>0</v>
      </c>
      <c r="I172" s="94">
        <v>0</v>
      </c>
      <c r="J172" s="64">
        <v>0</v>
      </c>
      <c r="K172" s="94">
        <v>0</v>
      </c>
      <c r="L172" s="64">
        <v>16</v>
      </c>
      <c r="M172" s="94">
        <v>0</v>
      </c>
      <c r="N172" s="64">
        <v>0</v>
      </c>
      <c r="O172" s="94">
        <v>0</v>
      </c>
      <c r="P172" s="64">
        <v>15</v>
      </c>
      <c r="Q172" s="94">
        <v>0</v>
      </c>
      <c r="R172" s="64">
        <v>0</v>
      </c>
      <c r="S172" s="94">
        <v>0</v>
      </c>
      <c r="T172" s="64">
        <v>0</v>
      </c>
      <c r="U172" s="94">
        <v>0</v>
      </c>
      <c r="V172" s="64">
        <v>0</v>
      </c>
      <c r="W172" s="94">
        <v>0</v>
      </c>
      <c r="X172" s="64">
        <v>0</v>
      </c>
      <c r="Y172" s="94">
        <v>0</v>
      </c>
      <c r="Z172" s="64">
        <v>0</v>
      </c>
      <c r="AA172" s="94">
        <v>0</v>
      </c>
      <c r="AB172" s="64">
        <v>0</v>
      </c>
      <c r="AC172" s="94">
        <v>0</v>
      </c>
      <c r="AD172" s="64">
        <v>0</v>
      </c>
      <c r="AE172" s="94">
        <v>0</v>
      </c>
      <c r="AF172" s="95">
        <v>31</v>
      </c>
      <c r="AG172" s="69">
        <v>5.8088512427025376E-05</v>
      </c>
    </row>
    <row r="173" spans="1:33" ht="14.5">
      <c r="A173">
        <v>1</v>
      </c>
      <c r="C173" s="31"/>
      <c r="D173" s="153" t="s">
        <v>351</v>
      </c>
      <c r="E173" s="100" t="s">
        <v>351</v>
      </c>
      <c r="F173" s="126" t="str">
        <f ca="1">E173</f>
        <v>SIS Stores Brand</v>
      </c>
      <c r="G173" s="127"/>
      <c r="H173" s="101">
        <v>983</v>
      </c>
      <c r="I173" s="102">
        <v>0.5543959519291588</v>
      </c>
      <c r="J173" s="101">
        <v>798.70000000000005</v>
      </c>
      <c r="K173" s="102">
        <v>0.086371055495103363</v>
      </c>
      <c r="L173" s="101">
        <v>998.39999999999998</v>
      </c>
      <c r="M173" s="102">
        <v>0.98647035415837636</v>
      </c>
      <c r="N173" s="101">
        <v>652.29999999999995</v>
      </c>
      <c r="O173" s="102">
        <v>0.1953454278907823</v>
      </c>
      <c r="P173" s="101">
        <v>637.5</v>
      </c>
      <c r="Q173" s="102">
        <v>0.41729657625611377</v>
      </c>
      <c r="R173" s="101">
        <v>720.39999999999998</v>
      </c>
      <c r="S173" s="102">
        <v>-0.41677461139896366</v>
      </c>
      <c r="T173" s="101">
        <v>557.79999999999995</v>
      </c>
      <c r="U173" s="102">
        <v>-0.27275097783572366</v>
      </c>
      <c r="V173" s="101">
        <v>403.80000000000001</v>
      </c>
      <c r="W173" s="102">
        <v>-0.47990726429675423</v>
      </c>
      <c r="X173" s="101">
        <v>262.19999999999999</v>
      </c>
      <c r="Y173" s="102">
        <v>-0.72253968253968259</v>
      </c>
      <c r="Z173" s="101">
        <v>64</v>
      </c>
      <c r="AA173" s="102">
        <v>-0.91945633022904605</v>
      </c>
      <c r="AB173" s="101">
        <v>52</v>
      </c>
      <c r="AC173" s="102">
        <v>-0.94725096368431727</v>
      </c>
      <c r="AD173" s="101">
        <v>99</v>
      </c>
      <c r="AE173" s="102">
        <v>-0.94502138057422114</v>
      </c>
      <c r="AF173" s="101">
        <v>6229.1000000000004</v>
      </c>
      <c r="AG173" s="102">
        <v>0.011672230734167219</v>
      </c>
    </row>
    <row r="174" spans="1:33" ht="14.5">
      <c r="A174">
        <v>0</v>
      </c>
      <c r="C174" s="31"/>
      <c r="D174" s="1" t="s">
        <v>352</v>
      </c>
      <c r="E174" s="1" t="s">
        <v>352</v>
      </c>
      <c r="F174" s="148" t="str">
        <f ca="1">E174</f>
        <v>Brand Stores by Concept</v>
      </c>
      <c r="G174" s="149"/>
      <c r="H174" s="150">
        <v>55649.379999999997</v>
      </c>
      <c r="I174" s="151">
        <v>0.62277059746034258</v>
      </c>
      <c r="J174" s="150">
        <v>46383.000000000015</v>
      </c>
      <c r="K174" s="151">
        <v>0.51029493455486341</v>
      </c>
      <c r="L174" s="150">
        <v>49857.170000000013</v>
      </c>
      <c r="M174" s="151">
        <v>0.12380169476931489</v>
      </c>
      <c r="N174" s="150">
        <v>43805.249999999993</v>
      </c>
      <c r="O174" s="151">
        <v>0.19126191731022435</v>
      </c>
      <c r="P174" s="150">
        <v>37932.529999999992</v>
      </c>
      <c r="Q174" s="151">
        <v>0.49579761350820628</v>
      </c>
      <c r="R174" s="150">
        <v>44727.25</v>
      </c>
      <c r="S174" s="151">
        <v>-0.073579271423579479</v>
      </c>
      <c r="T174" s="150">
        <v>47543.829999999987</v>
      </c>
      <c r="U174" s="151">
        <v>-0.0072392197871311986</v>
      </c>
      <c r="V174" s="150">
        <v>37069.789999999994</v>
      </c>
      <c r="W174" s="151">
        <v>-0.13735816477553037</v>
      </c>
      <c r="X174" s="150">
        <v>40305.820000000007</v>
      </c>
      <c r="Y174" s="151">
        <v>-0.2950324806673521</v>
      </c>
      <c r="Z174" s="150">
        <v>33501.290000000008</v>
      </c>
      <c r="AA174" s="151">
        <v>-0.37109219245715114</v>
      </c>
      <c r="AB174" s="150">
        <v>30222.94000000001</v>
      </c>
      <c r="AC174" s="151">
        <v>-0.29832545477297739</v>
      </c>
      <c r="AD174" s="150">
        <v>66670.090000000011</v>
      </c>
      <c r="AE174" s="151">
        <v>-0.21773217025466682</v>
      </c>
      <c r="AF174" s="152">
        <v>533668.33999999939</v>
      </c>
      <c r="AG174" s="147">
        <v>0.99999999999999978</v>
      </c>
    </row>
    <row r="175" spans="4:33" ht="15">
      <c r="D175" s="155"/>
      <c r="E175" s="1"/>
      <c r="F175" s="1"/>
      <c r="G175" s="1"/>
      <c r="H175" s="114"/>
      <c r="I175" s="116"/>
      <c r="J175" s="114"/>
      <c r="K175" s="116"/>
      <c r="L175" s="114"/>
      <c r="M175" s="116"/>
      <c r="N175" s="114"/>
      <c r="O175" s="116"/>
      <c r="P175" s="114"/>
      <c r="Q175" s="116"/>
      <c r="R175" s="114"/>
      <c r="S175" s="116"/>
      <c r="T175" s="114"/>
      <c r="U175" s="116"/>
      <c r="V175" s="114"/>
      <c r="W175" s="116"/>
      <c r="X175" s="114"/>
      <c r="Y175" s="116"/>
      <c r="Z175" s="114"/>
      <c r="AA175" s="116"/>
      <c r="AB175" s="114"/>
      <c r="AC175" s="116"/>
      <c r="AD175" s="114"/>
      <c r="AE175" s="116"/>
      <c r="AF175" s="253"/>
      <c r="AG175" s="254"/>
    </row>
    <row r="176" spans="4:33" ht="15">
      <c r="D176" s="155"/>
      <c r="E176" s="1"/>
      <c r="F176" s="1"/>
      <c r="G176" s="1"/>
      <c r="H176" s="114"/>
      <c r="I176" s="116"/>
      <c r="J176" s="114"/>
      <c r="K176" s="116"/>
      <c r="L176" s="114"/>
      <c r="M176" s="116"/>
      <c r="N176" s="114"/>
      <c r="O176" s="116"/>
      <c r="P176" s="114"/>
      <c r="Q176" s="116"/>
      <c r="R176" s="114"/>
      <c r="S176" s="116"/>
      <c r="T176" s="114"/>
      <c r="U176" s="116"/>
      <c r="V176" s="114"/>
      <c r="W176" s="116"/>
      <c r="X176" s="114"/>
      <c r="Y176" s="116"/>
      <c r="Z176" s="114"/>
      <c r="AA176" s="116"/>
      <c r="AB176" s="114"/>
      <c r="AC176" s="116"/>
      <c r="AD176" s="114"/>
      <c r="AE176" s="116"/>
      <c r="AF176" s="253"/>
      <c r="AG176" s="254"/>
    </row>
    <row r="177" spans="2:2" ht="15" hidden="1">
      <c r="B177" t="s">
        <v>629</v>
      </c>
    </row>
    <row r="178" ht="15" hidden="1"/>
    <row r="179" spans="5:6" ht="15" hidden="1">
      <c r="E179" s="1" t="s">
        <v>0</v>
      </c>
      <c r="F179" t="s">
        <v>152</v>
      </c>
    </row>
    <row r="180" spans="5:6" ht="15" hidden="1">
      <c r="E180" s="1" t="s">
        <v>1</v>
      </c>
      <c r="F180" t="s">
        <v>243</v>
      </c>
    </row>
    <row r="181" spans="5:6" ht="15" hidden="1">
      <c r="E181" s="1" t="s">
        <v>50</v>
      </c>
      <c r="F181" t="s">
        <v>8</v>
      </c>
    </row>
    <row r="182" spans="5:6" ht="15" hidden="1">
      <c r="E182" s="1" t="s">
        <v>4</v>
      </c>
      <c r="F182" t="s">
        <v>273</v>
      </c>
    </row>
    <row r="183" spans="5:6" ht="15" hidden="1">
      <c r="E183" s="1" t="s">
        <v>3</v>
      </c>
      <c r="F183" t="s">
        <v>276</v>
      </c>
    </row>
    <row r="184" spans="5:6" ht="15" hidden="1">
      <c r="E184" s="1" t="s">
        <v>6</v>
      </c>
      <c r="F184" t="s">
        <v>265</v>
      </c>
    </row>
    <row r="185" spans="5:6" ht="15" hidden="1">
      <c r="E185" s="1" t="s">
        <v>5</v>
      </c>
      <c r="F185" t="s">
        <v>143</v>
      </c>
    </row>
    <row r="186" ht="15" hidden="1"/>
    <row r="187" ht="15" hidden="1"/>
    <row r="188" spans="8:32" ht="15" hidden="1">
      <c r="H188" s="108" t="str">
        <f ca="1">H32</f>
        <v>2025.M01</v>
      </c>
      <c r="I188" s="108" t="str">
        <f ca="1" t="shared" si="0" ref="I188:AF188">I32</f>
        <v>2025.M01</v>
      </c>
      <c r="J188" s="108" t="str">
        <f t="shared" ca="1" si="0"/>
        <v>2025.M02</v>
      </c>
      <c r="K188" s="108" t="str">
        <f t="shared" ca="1" si="0"/>
        <v>2025.M02</v>
      </c>
      <c r="L188" s="108" t="str">
        <f t="shared" ca="1" si="0"/>
        <v>2025.M03</v>
      </c>
      <c r="M188" s="108" t="str">
        <f t="shared" ca="1" si="0"/>
        <v>2025.M03</v>
      </c>
      <c r="N188" s="108" t="str">
        <f t="shared" ca="1" si="0"/>
        <v>2025.M04</v>
      </c>
      <c r="O188" s="108" t="str">
        <f t="shared" ca="1" si="0"/>
        <v>2025.M04</v>
      </c>
      <c r="P188" s="108" t="str">
        <f t="shared" ca="1" si="0"/>
        <v>2025.M05</v>
      </c>
      <c r="Q188" s="108" t="str">
        <f t="shared" ca="1" si="0"/>
        <v>2025.M05</v>
      </c>
      <c r="R188" s="108" t="str">
        <f t="shared" ca="1" si="0"/>
        <v>2025.M06</v>
      </c>
      <c r="S188" s="108" t="str">
        <f t="shared" ca="1" si="0"/>
        <v>2025.M06</v>
      </c>
      <c r="T188" s="108" t="str">
        <f t="shared" ca="1" si="0"/>
        <v>2025.M07</v>
      </c>
      <c r="U188" s="108" t="str">
        <f t="shared" ca="1" si="0"/>
        <v>2025.M07</v>
      </c>
      <c r="V188" s="108" t="str">
        <f t="shared" ca="1" si="0"/>
        <v>2025.M08</v>
      </c>
      <c r="W188" s="108" t="str">
        <f t="shared" ca="1" si="0"/>
        <v>2025.M08</v>
      </c>
      <c r="X188" s="108" t="str">
        <f t="shared" ca="1" si="0"/>
        <v>2025.M09</v>
      </c>
      <c r="Y188" s="108" t="str">
        <f t="shared" ca="1" si="0"/>
        <v>2025.M09</v>
      </c>
      <c r="Z188" s="108" t="str">
        <f t="shared" ca="1" si="0"/>
        <v>2025.M10</v>
      </c>
      <c r="AA188" s="108" t="str">
        <f t="shared" ca="1" si="0"/>
        <v>2025.M10</v>
      </c>
      <c r="AB188" s="108" t="str">
        <f t="shared" ca="1" si="0"/>
        <v>2025.M11</v>
      </c>
      <c r="AC188" s="108" t="str">
        <f t="shared" ca="1" si="0"/>
        <v>2025.M11</v>
      </c>
      <c r="AD188" s="108" t="str">
        <f t="shared" ca="1" si="0"/>
        <v>2025.M12</v>
      </c>
      <c r="AE188" s="108" t="str">
        <f t="shared" ca="1" si="0"/>
        <v>2025.M12</v>
      </c>
      <c r="AF188" s="108" t="str">
        <f t="shared" ca="1" si="0"/>
        <v>YTD 2025.M12</v>
      </c>
    </row>
    <row r="189" spans="8:32" ht="7.5" customHeight="1" hidden="1">
      <c r="H189" s="108" t="s">
        <v>133</v>
      </c>
      <c r="I189" s="108" t="s">
        <v>133</v>
      </c>
      <c r="J189" s="108" t="s">
        <v>133</v>
      </c>
      <c r="K189" s="108" t="s">
        <v>133</v>
      </c>
      <c r="L189" s="108" t="s">
        <v>133</v>
      </c>
      <c r="M189" s="108" t="s">
        <v>133</v>
      </c>
      <c r="N189" s="108" t="s">
        <v>133</v>
      </c>
      <c r="O189" s="108" t="s">
        <v>133</v>
      </c>
      <c r="P189" s="108" t="s">
        <v>133</v>
      </c>
      <c r="Q189" s="108" t="s">
        <v>133</v>
      </c>
      <c r="R189" s="108" t="s">
        <v>133</v>
      </c>
      <c r="S189" s="108" t="s">
        <v>133</v>
      </c>
      <c r="T189" s="108" t="s">
        <v>133</v>
      </c>
      <c r="U189" s="108" t="s">
        <v>133</v>
      </c>
      <c r="V189" s="108" t="s">
        <v>133</v>
      </c>
      <c r="W189" s="108" t="s">
        <v>133</v>
      </c>
      <c r="X189" s="108" t="s">
        <v>133</v>
      </c>
      <c r="Y189" s="108" t="s">
        <v>133</v>
      </c>
      <c r="Z189" s="108" t="s">
        <v>133</v>
      </c>
      <c r="AA189" s="108" t="s">
        <v>133</v>
      </c>
      <c r="AB189" s="108" t="s">
        <v>133</v>
      </c>
      <c r="AC189" s="108" t="s">
        <v>133</v>
      </c>
      <c r="AD189" s="108" t="s">
        <v>133</v>
      </c>
      <c r="AE189" s="108" t="s">
        <v>133</v>
      </c>
      <c r="AF189" s="108" t="s">
        <v>133</v>
      </c>
    </row>
    <row r="190" spans="4:33" ht="15">
      <c r="D190" s="40" t="s">
        <v>138</v>
      </c>
      <c r="E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t="str">
        <f ca="1">$I$25&amp;" "&amp;$E$26</f>
        <v>December 2025</v>
      </c>
      <c r="AG190" s="40"/>
    </row>
    <row r="191" spans="6:33" ht="15">
      <c r="F191" s="117"/>
      <c r="G191" s="118"/>
      <c r="H191" s="300" t="s">
        <v>267</v>
      </c>
      <c r="I191" s="300"/>
      <c r="J191" s="300" t="s">
        <v>244</v>
      </c>
      <c r="K191" s="300"/>
      <c r="L191" s="300" t="s">
        <v>269</v>
      </c>
      <c r="M191" s="300"/>
      <c r="N191" s="300" t="s">
        <v>242</v>
      </c>
      <c r="O191" s="300"/>
      <c r="P191" s="300" t="s">
        <v>264</v>
      </c>
      <c r="Q191" s="300"/>
      <c r="R191" s="300" t="s">
        <v>266</v>
      </c>
      <c r="S191" s="300"/>
      <c r="T191" s="300" t="s">
        <v>386</v>
      </c>
      <c r="U191" s="300"/>
      <c r="V191" s="300" t="s">
        <v>387</v>
      </c>
      <c r="W191" s="300"/>
      <c r="X191" s="300" t="s">
        <v>388</v>
      </c>
      <c r="Y191" s="300"/>
      <c r="Z191" s="300" t="s">
        <v>389</v>
      </c>
      <c r="AA191" s="300"/>
      <c r="AB191" s="300" t="s">
        <v>390</v>
      </c>
      <c r="AC191" s="300"/>
      <c r="AD191" s="300" t="s">
        <v>391</v>
      </c>
      <c r="AE191" s="300"/>
      <c r="AF191" s="125" t="str">
        <f ca="1">LEFT(AF188,8)</f>
        <v>YTD 2025</v>
      </c>
      <c r="AG191" s="124"/>
    </row>
    <row r="192" spans="1:33" ht="15">
      <c r="A192" t="s">
        <v>90</v>
      </c>
      <c r="F192" s="157" t="s">
        <v>175</v>
      </c>
      <c r="G192" s="199" t="s">
        <v>45</v>
      </c>
      <c r="H192" s="202"/>
      <c r="I192" s="203">
        <v>59</v>
      </c>
      <c r="J192" s="204"/>
      <c r="K192" s="203">
        <v>91</v>
      </c>
      <c r="L192" s="204"/>
      <c r="M192" s="203">
        <v>39</v>
      </c>
      <c r="N192" s="204"/>
      <c r="O192" s="203">
        <v>61.919999999999995</v>
      </c>
      <c r="P192" s="204"/>
      <c r="Q192" s="203">
        <v>70</v>
      </c>
      <c r="R192" s="204"/>
      <c r="S192" s="203">
        <v>117</v>
      </c>
      <c r="T192" s="204"/>
      <c r="U192" s="203">
        <v>83.879999999999995</v>
      </c>
      <c r="V192" s="204"/>
      <c r="W192" s="203">
        <v>67</v>
      </c>
      <c r="X192" s="204"/>
      <c r="Y192" s="203">
        <v>77.980000000000004</v>
      </c>
      <c r="Z192" s="204"/>
      <c r="AA192" s="203">
        <v>42</v>
      </c>
      <c r="AB192" s="204"/>
      <c r="AC192" s="203">
        <v>0</v>
      </c>
      <c r="AD192" s="204"/>
      <c r="AE192" s="203">
        <v>67</v>
      </c>
      <c r="AF192" s="205">
        <v>775.77999999999997</v>
      </c>
      <c r="AG192" s="114"/>
    </row>
    <row r="193" spans="1:33" ht="15">
      <c r="A193" t="s">
        <v>91</v>
      </c>
      <c r="F193" s="59" t="s">
        <v>175</v>
      </c>
      <c r="G193" s="31" t="s">
        <v>89</v>
      </c>
      <c r="H193" s="107"/>
      <c r="I193" s="70">
        <v>14.75</v>
      </c>
      <c r="J193" s="107"/>
      <c r="K193" s="70">
        <v>22.75</v>
      </c>
      <c r="L193" s="107"/>
      <c r="M193" s="70">
        <v>7.7999999999999998</v>
      </c>
      <c r="N193" s="107"/>
      <c r="O193" s="70">
        <v>15.479999999999999</v>
      </c>
      <c r="P193" s="107"/>
      <c r="Q193" s="70">
        <v>17.5</v>
      </c>
      <c r="R193" s="107"/>
      <c r="S193" s="70">
        <v>23.399999999999999</v>
      </c>
      <c r="T193" s="107"/>
      <c r="U193" s="70">
        <v>20.969999999999999</v>
      </c>
      <c r="V193" s="107"/>
      <c r="W193" s="70">
        <v>16.75</v>
      </c>
      <c r="X193" s="107"/>
      <c r="Y193" s="70">
        <v>15.596</v>
      </c>
      <c r="Z193" s="107"/>
      <c r="AA193" s="70">
        <v>10.5</v>
      </c>
      <c r="AB193" s="107"/>
      <c r="AC193" s="70">
        <v>0</v>
      </c>
      <c r="AD193" s="107"/>
      <c r="AE193" s="70">
        <v>13.4</v>
      </c>
      <c r="AF193" s="95">
        <v>14.918846153846154</v>
      </c>
      <c r="AG193" s="114"/>
    </row>
    <row r="194" spans="1:33" ht="15">
      <c r="A194" t="s">
        <v>92</v>
      </c>
      <c r="F194" s="59" t="s">
        <v>175</v>
      </c>
      <c r="G194" s="31" t="s">
        <v>49</v>
      </c>
      <c r="H194" s="105"/>
      <c r="I194" s="110">
        <v>5</v>
      </c>
      <c r="J194" s="105"/>
      <c r="K194" s="110">
        <v>7</v>
      </c>
      <c r="L194" s="105"/>
      <c r="M194" s="110">
        <v>3</v>
      </c>
      <c r="N194" s="105"/>
      <c r="O194" s="110">
        <v>4</v>
      </c>
      <c r="P194" s="105"/>
      <c r="Q194" s="110">
        <v>5</v>
      </c>
      <c r="R194" s="105"/>
      <c r="S194" s="110">
        <v>9</v>
      </c>
      <c r="T194" s="105"/>
      <c r="U194" s="110">
        <v>6</v>
      </c>
      <c r="V194" s="105"/>
      <c r="W194" s="110">
        <v>5</v>
      </c>
      <c r="X194" s="105"/>
      <c r="Y194" s="110">
        <v>6</v>
      </c>
      <c r="Z194" s="105"/>
      <c r="AA194" s="110">
        <v>3</v>
      </c>
      <c r="AB194" s="105"/>
      <c r="AC194" s="110">
        <v>0</v>
      </c>
      <c r="AD194" s="105"/>
      <c r="AE194" s="110">
        <v>5</v>
      </c>
      <c r="AF194" s="112">
        <v>58</v>
      </c>
      <c r="AG194" s="115"/>
    </row>
    <row r="195" spans="1:33" ht="15">
      <c r="A195" t="s">
        <v>93</v>
      </c>
      <c r="F195" s="59" t="s">
        <v>175</v>
      </c>
      <c r="G195" s="31" t="s">
        <v>88</v>
      </c>
      <c r="H195" s="105"/>
      <c r="I195" s="110">
        <v>1.25</v>
      </c>
      <c r="J195" s="105"/>
      <c r="K195" s="110">
        <v>1.75</v>
      </c>
      <c r="L195" s="105"/>
      <c r="M195" s="110">
        <v>0.59999999999999998</v>
      </c>
      <c r="N195" s="105"/>
      <c r="O195" s="110">
        <v>1</v>
      </c>
      <c r="P195" s="105"/>
      <c r="Q195" s="110">
        <v>1.25</v>
      </c>
      <c r="R195" s="105"/>
      <c r="S195" s="110">
        <v>1.8</v>
      </c>
      <c r="T195" s="105"/>
      <c r="U195" s="110">
        <v>1.5</v>
      </c>
      <c r="V195" s="105"/>
      <c r="W195" s="110">
        <v>1.25</v>
      </c>
      <c r="X195" s="105"/>
      <c r="Y195" s="110">
        <v>1.2</v>
      </c>
      <c r="Z195" s="105"/>
      <c r="AA195" s="110">
        <v>0.75</v>
      </c>
      <c r="AB195" s="105"/>
      <c r="AC195" s="110">
        <v>0</v>
      </c>
      <c r="AD195" s="105"/>
      <c r="AE195" s="110">
        <v>1</v>
      </c>
      <c r="AF195" s="112">
        <v>1.1153846153846154</v>
      </c>
      <c r="AG195" s="115"/>
    </row>
    <row r="196" spans="1:33" ht="15">
      <c r="A196" t="s">
        <v>94</v>
      </c>
      <c r="F196" s="59" t="s">
        <v>175</v>
      </c>
      <c r="G196" s="31" t="s">
        <v>44</v>
      </c>
      <c r="H196" s="106"/>
      <c r="I196" s="111">
        <v>1.4583333333333333</v>
      </c>
      <c r="J196" s="106"/>
      <c r="K196" s="111">
        <v>4.3529411764705879</v>
      </c>
      <c r="L196" s="106"/>
      <c r="M196" s="111">
        <v>-0.40000000000000002</v>
      </c>
      <c r="N196" s="106"/>
      <c r="O196" s="111">
        <v>-0.073053892215568905</v>
      </c>
      <c r="P196" s="106"/>
      <c r="Q196" s="111">
        <v>4.384615384615385</v>
      </c>
      <c r="R196" s="106"/>
      <c r="S196" s="111">
        <v>0.60714285714285721</v>
      </c>
      <c r="T196" s="106"/>
      <c r="U196" s="111">
        <v>0.24082840236686395</v>
      </c>
      <c r="V196" s="106"/>
      <c r="W196" s="111">
        <v>1.5769230769230769</v>
      </c>
      <c r="X196" s="106"/>
      <c r="Y196" s="111">
        <v>2.7133333333333334</v>
      </c>
      <c r="Z196" s="106"/>
      <c r="AA196" s="111">
        <v>-0.46153846153846156</v>
      </c>
      <c r="AB196" s="106"/>
      <c r="AC196" s="111">
        <v>0</v>
      </c>
      <c r="AD196" s="106"/>
      <c r="AE196" s="111">
        <v>5.7000000000000002</v>
      </c>
      <c r="AF196" s="113">
        <v>0.68209019947961813</v>
      </c>
      <c r="AG196" s="116"/>
    </row>
    <row r="197" spans="1:33" ht="15">
      <c r="A197" t="s">
        <v>43</v>
      </c>
      <c r="F197" s="119" t="s">
        <v>175</v>
      </c>
      <c r="G197" s="120" t="s">
        <v>87</v>
      </c>
      <c r="H197" s="139"/>
      <c r="I197" s="122">
        <v>0.66666666666666663</v>
      </c>
      <c r="J197" s="121"/>
      <c r="K197" s="122">
        <v>2.5</v>
      </c>
      <c r="L197" s="121"/>
      <c r="M197" s="122">
        <v>-0.40000000000000002</v>
      </c>
      <c r="N197" s="121"/>
      <c r="O197" s="122">
        <v>-0.20000000000000001</v>
      </c>
      <c r="P197" s="121"/>
      <c r="Q197" s="122">
        <v>4</v>
      </c>
      <c r="R197" s="121"/>
      <c r="S197" s="122">
        <v>0.5</v>
      </c>
      <c r="T197" s="121"/>
      <c r="U197" s="122">
        <v>0</v>
      </c>
      <c r="V197" s="121"/>
      <c r="W197" s="122">
        <v>1.5</v>
      </c>
      <c r="X197" s="121"/>
      <c r="Y197" s="122">
        <v>2</v>
      </c>
      <c r="Z197" s="121"/>
      <c r="AA197" s="122">
        <v>-0.5</v>
      </c>
      <c r="AB197" s="121"/>
      <c r="AC197" s="122">
        <v>0</v>
      </c>
      <c r="AD197" s="121"/>
      <c r="AE197" s="122">
        <v>4</v>
      </c>
      <c r="AF197" s="123">
        <v>0.48717948717948717</v>
      </c>
      <c r="AG197" s="116"/>
    </row>
    <row r="198" spans="1:33" ht="15">
      <c r="A198" t="s">
        <v>90</v>
      </c>
      <c r="F198" s="157" t="s">
        <v>178</v>
      </c>
      <c r="G198" s="199" t="s">
        <v>45</v>
      </c>
      <c r="H198" s="202"/>
      <c r="I198" s="203">
        <v>17272.799999999999</v>
      </c>
      <c r="J198" s="204"/>
      <c r="K198" s="203">
        <v>14399.609999999997</v>
      </c>
      <c r="L198" s="204"/>
      <c r="M198" s="203">
        <v>14744.529999999995</v>
      </c>
      <c r="N198" s="204"/>
      <c r="O198" s="203">
        <v>14021.249999999998</v>
      </c>
      <c r="P198" s="204"/>
      <c r="Q198" s="203">
        <v>10553.99</v>
      </c>
      <c r="R198" s="204"/>
      <c r="S198" s="203">
        <v>13839.280000000001</v>
      </c>
      <c r="T198" s="204"/>
      <c r="U198" s="203">
        <v>12609.729999999998</v>
      </c>
      <c r="V198" s="204"/>
      <c r="W198" s="203">
        <v>10210.58</v>
      </c>
      <c r="X198" s="204"/>
      <c r="Y198" s="203">
        <v>10521.889999999999</v>
      </c>
      <c r="Z198" s="204"/>
      <c r="AA198" s="203">
        <v>6384.3600000000006</v>
      </c>
      <c r="AB198" s="204"/>
      <c r="AC198" s="203">
        <v>6462.6999999999989</v>
      </c>
      <c r="AD198" s="204"/>
      <c r="AE198" s="203">
        <v>15552.24</v>
      </c>
      <c r="AF198" s="205">
        <v>146572.95999999999</v>
      </c>
      <c r="AG198" s="114"/>
    </row>
    <row r="199" spans="1:33" ht="15">
      <c r="A199" t="s">
        <v>91</v>
      </c>
      <c r="F199" s="59" t="s">
        <v>178</v>
      </c>
      <c r="G199" s="31" t="s">
        <v>89</v>
      </c>
      <c r="H199" s="107"/>
      <c r="I199" s="70">
        <v>4318.1999999999998</v>
      </c>
      <c r="J199" s="107"/>
      <c r="K199" s="70">
        <v>3599.9024999999992</v>
      </c>
      <c r="L199" s="107"/>
      <c r="M199" s="70">
        <v>2948.905999999999</v>
      </c>
      <c r="N199" s="107"/>
      <c r="O199" s="70">
        <v>3505.3124999999995</v>
      </c>
      <c r="P199" s="107"/>
      <c r="Q199" s="70">
        <v>2638.4974999999999</v>
      </c>
      <c r="R199" s="107"/>
      <c r="S199" s="70">
        <v>2767.8560000000002</v>
      </c>
      <c r="T199" s="107"/>
      <c r="U199" s="70">
        <v>3152.4324999999994</v>
      </c>
      <c r="V199" s="107"/>
      <c r="W199" s="70">
        <v>2552.645</v>
      </c>
      <c r="X199" s="107"/>
      <c r="Y199" s="70">
        <v>2104.3779999999997</v>
      </c>
      <c r="Z199" s="107"/>
      <c r="AA199" s="70">
        <v>1596.0900000000001</v>
      </c>
      <c r="AB199" s="107"/>
      <c r="AC199" s="70">
        <v>1615.6749999999997</v>
      </c>
      <c r="AD199" s="107"/>
      <c r="AE199" s="70">
        <v>3110.4479999999999</v>
      </c>
      <c r="AF199" s="95">
        <v>2818.7107692307691</v>
      </c>
      <c r="AG199" s="114"/>
    </row>
    <row r="200" spans="1:33" ht="15">
      <c r="A200" t="s">
        <v>92</v>
      </c>
      <c r="F200" s="59" t="s">
        <v>178</v>
      </c>
      <c r="G200" s="31" t="s">
        <v>49</v>
      </c>
      <c r="H200" s="105"/>
      <c r="I200" s="110">
        <v>1884</v>
      </c>
      <c r="J200" s="105"/>
      <c r="K200" s="110">
        <v>1528</v>
      </c>
      <c r="L200" s="105"/>
      <c r="M200" s="110">
        <v>1619</v>
      </c>
      <c r="N200" s="105"/>
      <c r="O200" s="110">
        <v>1482</v>
      </c>
      <c r="P200" s="105"/>
      <c r="Q200" s="110">
        <v>1088</v>
      </c>
      <c r="R200" s="105"/>
      <c r="S200" s="110">
        <v>1268</v>
      </c>
      <c r="T200" s="105"/>
      <c r="U200" s="110">
        <v>960</v>
      </c>
      <c r="V200" s="105"/>
      <c r="W200" s="110">
        <v>709</v>
      </c>
      <c r="X200" s="105"/>
      <c r="Y200" s="110">
        <v>678</v>
      </c>
      <c r="Z200" s="105"/>
      <c r="AA200" s="110">
        <v>389</v>
      </c>
      <c r="AB200" s="105"/>
      <c r="AC200" s="110">
        <v>418</v>
      </c>
      <c r="AD200" s="105"/>
      <c r="AE200" s="110">
        <v>987</v>
      </c>
      <c r="AF200" s="112">
        <v>13010</v>
      </c>
      <c r="AG200" s="115"/>
    </row>
    <row r="201" spans="1:33" ht="15">
      <c r="A201" t="s">
        <v>93</v>
      </c>
      <c r="F201" s="59" t="s">
        <v>178</v>
      </c>
      <c r="G201" s="31" t="s">
        <v>88</v>
      </c>
      <c r="H201" s="105"/>
      <c r="I201" s="110">
        <v>471</v>
      </c>
      <c r="J201" s="105"/>
      <c r="K201" s="110">
        <v>382</v>
      </c>
      <c r="L201" s="105"/>
      <c r="M201" s="110">
        <v>323.80000000000001</v>
      </c>
      <c r="N201" s="105"/>
      <c r="O201" s="110">
        <v>370.5</v>
      </c>
      <c r="P201" s="105"/>
      <c r="Q201" s="110">
        <v>272</v>
      </c>
      <c r="R201" s="105"/>
      <c r="S201" s="110">
        <v>253.59999999999999</v>
      </c>
      <c r="T201" s="105"/>
      <c r="U201" s="110">
        <v>240</v>
      </c>
      <c r="V201" s="105"/>
      <c r="W201" s="110">
        <v>177.25</v>
      </c>
      <c r="X201" s="105"/>
      <c r="Y201" s="110">
        <v>135.59999999999999</v>
      </c>
      <c r="Z201" s="105"/>
      <c r="AA201" s="110">
        <v>97.25</v>
      </c>
      <c r="AB201" s="105"/>
      <c r="AC201" s="110">
        <v>104.5</v>
      </c>
      <c r="AD201" s="105"/>
      <c r="AE201" s="110">
        <v>197.40000000000001</v>
      </c>
      <c r="AF201" s="112">
        <v>250.19230769230768</v>
      </c>
      <c r="AG201" s="115"/>
    </row>
    <row r="202" spans="1:33" ht="15">
      <c r="A202" t="s">
        <v>94</v>
      </c>
      <c r="F202" s="59" t="s">
        <v>178</v>
      </c>
      <c r="G202" s="31" t="s">
        <v>44</v>
      </c>
      <c r="H202" s="106"/>
      <c r="I202" s="111">
        <v>0.23429159431474669</v>
      </c>
      <c r="J202" s="106"/>
      <c r="K202" s="111">
        <v>0.3042427986185518</v>
      </c>
      <c r="L202" s="106"/>
      <c r="M202" s="111">
        <v>-0.15797411651565532</v>
      </c>
      <c r="N202" s="106"/>
      <c r="O202" s="111">
        <v>-0.034458229235816429</v>
      </c>
      <c r="P202" s="106"/>
      <c r="Q202" s="111">
        <v>0.13553971541544502</v>
      </c>
      <c r="R202" s="106"/>
      <c r="S202" s="111">
        <v>-0.15357897537361592</v>
      </c>
      <c r="T202" s="106"/>
      <c r="U202" s="111">
        <v>-0.22081259678258552</v>
      </c>
      <c r="V202" s="106"/>
      <c r="W202" s="111">
        <v>-0.34073569974896445</v>
      </c>
      <c r="X202" s="106"/>
      <c r="Y202" s="111">
        <v>-0.46330442056725474</v>
      </c>
      <c r="Z202" s="106"/>
      <c r="AA202" s="111">
        <v>-0.63465960137567168</v>
      </c>
      <c r="AB202" s="106"/>
      <c r="AC202" s="111">
        <v>-0.47750321775294141</v>
      </c>
      <c r="AD202" s="106"/>
      <c r="AE202" s="111">
        <v>-0.36650056843802348</v>
      </c>
      <c r="AF202" s="113">
        <v>-0.22193503296689773</v>
      </c>
      <c r="AG202" s="116"/>
    </row>
    <row r="203" spans="1:33" ht="15">
      <c r="A203" t="s">
        <v>43</v>
      </c>
      <c r="F203" s="119" t="s">
        <v>178</v>
      </c>
      <c r="G203" s="120" t="s">
        <v>87</v>
      </c>
      <c r="H203" s="139"/>
      <c r="I203" s="122">
        <v>-0.046558704453441298</v>
      </c>
      <c r="J203" s="121"/>
      <c r="K203" s="122">
        <v>-0.04738154613466334</v>
      </c>
      <c r="L203" s="121"/>
      <c r="M203" s="122">
        <v>-0.13974495217853347</v>
      </c>
      <c r="N203" s="121"/>
      <c r="O203" s="122">
        <v>0.014373716632443531</v>
      </c>
      <c r="P203" s="121"/>
      <c r="Q203" s="122">
        <v>0.17115177610333693</v>
      </c>
      <c r="R203" s="121"/>
      <c r="S203" s="122">
        <v>-0.20700437773608504</v>
      </c>
      <c r="T203" s="121"/>
      <c r="U203" s="122">
        <v>-0.40813810110974108</v>
      </c>
      <c r="V203" s="121"/>
      <c r="W203" s="122">
        <v>-0.55069708491761726</v>
      </c>
      <c r="X203" s="121"/>
      <c r="Y203" s="122">
        <v>-0.65895372233400407</v>
      </c>
      <c r="Z203" s="121"/>
      <c r="AA203" s="122">
        <v>-0.79074771382463693</v>
      </c>
      <c r="AB203" s="121"/>
      <c r="AC203" s="122">
        <v>-0.70871080139372822</v>
      </c>
      <c r="AD203" s="121"/>
      <c r="AE203" s="122">
        <v>-0.67209302325581399</v>
      </c>
      <c r="AF203" s="123">
        <v>-0.37879004918111064</v>
      </c>
      <c r="AG203" s="116"/>
    </row>
    <row r="204" spans="1:33" ht="15">
      <c r="A204" t="s">
        <v>90</v>
      </c>
      <c r="F204" s="157" t="s">
        <v>179</v>
      </c>
      <c r="G204" s="199" t="s">
        <v>45</v>
      </c>
      <c r="H204" s="202"/>
      <c r="I204" s="203">
        <v>29761.579999999998</v>
      </c>
      <c r="J204" s="204"/>
      <c r="K204" s="203">
        <v>24532.759999999995</v>
      </c>
      <c r="L204" s="204"/>
      <c r="M204" s="203">
        <v>27571.459999999995</v>
      </c>
      <c r="N204" s="204"/>
      <c r="O204" s="203">
        <v>24013.929999999997</v>
      </c>
      <c r="P204" s="204"/>
      <c r="Q204" s="203">
        <v>19009.590000000004</v>
      </c>
      <c r="R204" s="204"/>
      <c r="S204" s="203">
        <v>24582.279999999999</v>
      </c>
      <c r="T204" s="204"/>
      <c r="U204" s="203">
        <v>22441.350000000002</v>
      </c>
      <c r="V204" s="204"/>
      <c r="W204" s="203">
        <v>17962.700000000001</v>
      </c>
      <c r="X204" s="204"/>
      <c r="Y204" s="203">
        <v>21366.549999999999</v>
      </c>
      <c r="Z204" s="204"/>
      <c r="AA204" s="203">
        <v>17165.580000000002</v>
      </c>
      <c r="AB204" s="204"/>
      <c r="AC204" s="203">
        <v>15232.479999999998</v>
      </c>
      <c r="AD204" s="204"/>
      <c r="AE204" s="203">
        <v>37117.130000000012</v>
      </c>
      <c r="AF204" s="205">
        <v>280757.38999999996</v>
      </c>
      <c r="AG204" s="114"/>
    </row>
    <row r="205" spans="1:33" ht="15">
      <c r="A205" t="s">
        <v>91</v>
      </c>
      <c r="F205" s="59" t="s">
        <v>179</v>
      </c>
      <c r="G205" s="31" t="s">
        <v>89</v>
      </c>
      <c r="H205" s="107"/>
      <c r="I205" s="70">
        <v>7440.3949999999995</v>
      </c>
      <c r="J205" s="107"/>
      <c r="K205" s="70">
        <v>6133.1899999999987</v>
      </c>
      <c r="L205" s="107"/>
      <c r="M205" s="70">
        <v>5514.2919999999995</v>
      </c>
      <c r="N205" s="107"/>
      <c r="O205" s="70">
        <v>6003.4824999999992</v>
      </c>
      <c r="P205" s="107"/>
      <c r="Q205" s="70">
        <v>4752.3975000000009</v>
      </c>
      <c r="R205" s="107"/>
      <c r="S205" s="70">
        <v>4916.4560000000001</v>
      </c>
      <c r="T205" s="107"/>
      <c r="U205" s="70">
        <v>5610.3375000000005</v>
      </c>
      <c r="V205" s="107"/>
      <c r="W205" s="70">
        <v>4490.6750000000002</v>
      </c>
      <c r="X205" s="107"/>
      <c r="Y205" s="70">
        <v>4273.3099999999995</v>
      </c>
      <c r="Z205" s="107"/>
      <c r="AA205" s="70">
        <v>4291.3950000000004</v>
      </c>
      <c r="AB205" s="107"/>
      <c r="AC205" s="70">
        <v>3808.1199999999994</v>
      </c>
      <c r="AD205" s="107"/>
      <c r="AE205" s="70">
        <v>7423.4260000000022</v>
      </c>
      <c r="AF205" s="95">
        <v>5399.1805769230759</v>
      </c>
      <c r="AG205" s="114"/>
    </row>
    <row r="206" spans="1:33" ht="15">
      <c r="A206" t="s">
        <v>92</v>
      </c>
      <c r="F206" s="59" t="s">
        <v>179</v>
      </c>
      <c r="G206" s="31" t="s">
        <v>49</v>
      </c>
      <c r="H206" s="105"/>
      <c r="I206" s="110">
        <v>3406</v>
      </c>
      <c r="J206" s="105"/>
      <c r="K206" s="110">
        <v>2740</v>
      </c>
      <c r="L206" s="105"/>
      <c r="M206" s="110">
        <v>3165</v>
      </c>
      <c r="N206" s="105"/>
      <c r="O206" s="110">
        <v>2735</v>
      </c>
      <c r="P206" s="105"/>
      <c r="Q206" s="110">
        <v>2097</v>
      </c>
      <c r="R206" s="105"/>
      <c r="S206" s="110">
        <v>2420</v>
      </c>
      <c r="T206" s="105"/>
      <c r="U206" s="110">
        <v>1641</v>
      </c>
      <c r="V206" s="105"/>
      <c r="W206" s="110">
        <v>1249</v>
      </c>
      <c r="X206" s="105"/>
      <c r="Y206" s="110">
        <v>1435</v>
      </c>
      <c r="Z206" s="105"/>
      <c r="AA206" s="110">
        <v>1102</v>
      </c>
      <c r="AB206" s="105"/>
      <c r="AC206" s="110">
        <v>987</v>
      </c>
      <c r="AD206" s="105"/>
      <c r="AE206" s="110">
        <v>2307</v>
      </c>
      <c r="AF206" s="112">
        <v>25284</v>
      </c>
      <c r="AG206" s="115"/>
    </row>
    <row r="207" spans="1:33" ht="15">
      <c r="A207" t="s">
        <v>93</v>
      </c>
      <c r="F207" s="59" t="s">
        <v>179</v>
      </c>
      <c r="G207" s="31" t="s">
        <v>88</v>
      </c>
      <c r="H207" s="105"/>
      <c r="I207" s="110">
        <v>851.5</v>
      </c>
      <c r="J207" s="105"/>
      <c r="K207" s="110">
        <v>685</v>
      </c>
      <c r="L207" s="105"/>
      <c r="M207" s="110">
        <v>633</v>
      </c>
      <c r="N207" s="105"/>
      <c r="O207" s="110">
        <v>683.75</v>
      </c>
      <c r="P207" s="105"/>
      <c r="Q207" s="110">
        <v>524.25</v>
      </c>
      <c r="R207" s="105"/>
      <c r="S207" s="110">
        <v>484</v>
      </c>
      <c r="T207" s="105"/>
      <c r="U207" s="110">
        <v>410.25</v>
      </c>
      <c r="V207" s="105"/>
      <c r="W207" s="110">
        <v>312.25</v>
      </c>
      <c r="X207" s="105"/>
      <c r="Y207" s="110">
        <v>287</v>
      </c>
      <c r="Z207" s="105"/>
      <c r="AA207" s="110">
        <v>275.5</v>
      </c>
      <c r="AB207" s="105"/>
      <c r="AC207" s="110">
        <v>246.75</v>
      </c>
      <c r="AD207" s="105"/>
      <c r="AE207" s="110">
        <v>461.39999999999998</v>
      </c>
      <c r="AF207" s="112">
        <v>486.23076923076923</v>
      </c>
      <c r="AG207" s="115"/>
    </row>
    <row r="208" spans="1:33" ht="15">
      <c r="A208" t="s">
        <v>94</v>
      </c>
      <c r="F208" s="59" t="s">
        <v>179</v>
      </c>
      <c r="G208" s="31" t="s">
        <v>44</v>
      </c>
      <c r="H208" s="106"/>
      <c r="I208" s="111">
        <v>0.97703282789700296</v>
      </c>
      <c r="J208" s="106"/>
      <c r="K208" s="111">
        <v>0.71432844039518018</v>
      </c>
      <c r="L208" s="106"/>
      <c r="M208" s="111">
        <v>0.37453735831598423</v>
      </c>
      <c r="N208" s="106"/>
      <c r="O208" s="111">
        <v>0.42925852013520077</v>
      </c>
      <c r="P208" s="106"/>
      <c r="Q208" s="111">
        <v>0.69861793318148813</v>
      </c>
      <c r="R208" s="106"/>
      <c r="S208" s="111">
        <v>0.083081570331428267</v>
      </c>
      <c r="T208" s="106"/>
      <c r="U208" s="111">
        <v>0.0096232361336996124</v>
      </c>
      <c r="V208" s="106"/>
      <c r="W208" s="111">
        <v>-0.10126419511443384</v>
      </c>
      <c r="X208" s="106"/>
      <c r="Y208" s="111">
        <v>-0.27453664028727165</v>
      </c>
      <c r="Z208" s="106"/>
      <c r="AA208" s="111">
        <v>-0.36882478520912093</v>
      </c>
      <c r="AB208" s="106"/>
      <c r="AC208" s="111">
        <v>-0.30968517614664021</v>
      </c>
      <c r="AD208" s="106"/>
      <c r="AE208" s="111">
        <v>-0.25701501518212616</v>
      </c>
      <c r="AF208" s="113">
        <v>0.036014189496785969</v>
      </c>
      <c r="AG208" s="116"/>
    </row>
    <row r="209" spans="1:33" ht="15">
      <c r="A209" t="s">
        <v>43</v>
      </c>
      <c r="F209" s="119" t="s">
        <v>179</v>
      </c>
      <c r="G209" s="120" t="s">
        <v>87</v>
      </c>
      <c r="H209" s="139"/>
      <c r="I209" s="122">
        <v>0.48086956521739133</v>
      </c>
      <c r="J209" s="121"/>
      <c r="K209" s="122">
        <v>0.23869801084990958</v>
      </c>
      <c r="L209" s="121"/>
      <c r="M209" s="122">
        <v>0.33657094594594594</v>
      </c>
      <c r="N209" s="121"/>
      <c r="O209" s="122">
        <v>0.49046321525885561</v>
      </c>
      <c r="P209" s="121"/>
      <c r="Q209" s="122">
        <v>0.67358339984038307</v>
      </c>
      <c r="R209" s="121"/>
      <c r="S209" s="122">
        <v>-0.047619047619047616</v>
      </c>
      <c r="T209" s="121"/>
      <c r="U209" s="122">
        <v>-0.32828489562013918</v>
      </c>
      <c r="V209" s="121"/>
      <c r="W209" s="122">
        <v>-0.41635514018691588</v>
      </c>
      <c r="X209" s="121"/>
      <c r="Y209" s="122">
        <v>-0.53287760416666663</v>
      </c>
      <c r="Z209" s="121"/>
      <c r="AA209" s="122">
        <v>-0.64622792937399676</v>
      </c>
      <c r="AB209" s="121"/>
      <c r="AC209" s="122">
        <v>-0.63212821468505409</v>
      </c>
      <c r="AD209" s="121"/>
      <c r="AE209" s="122">
        <v>-0.62512187195320112</v>
      </c>
      <c r="AF209" s="123">
        <v>-0.21272885789014823</v>
      </c>
      <c r="AG209" s="116"/>
    </row>
    <row r="210" spans="1:33" ht="15">
      <c r="A210" t="s">
        <v>90</v>
      </c>
      <c r="F210" s="157" t="s">
        <v>180</v>
      </c>
      <c r="G210" s="199" t="s">
        <v>45</v>
      </c>
      <c r="H210" s="202"/>
      <c r="I210" s="203">
        <v>983</v>
      </c>
      <c r="J210" s="204"/>
      <c r="K210" s="203">
        <v>798.70000000000005</v>
      </c>
      <c r="L210" s="204"/>
      <c r="M210" s="203">
        <v>998.39999999999998</v>
      </c>
      <c r="N210" s="204"/>
      <c r="O210" s="203">
        <v>652.29999999999995</v>
      </c>
      <c r="P210" s="204"/>
      <c r="Q210" s="203">
        <v>637.5</v>
      </c>
      <c r="R210" s="204"/>
      <c r="S210" s="203">
        <v>720.39999999999998</v>
      </c>
      <c r="T210" s="204"/>
      <c r="U210" s="203">
        <v>557.79999999999995</v>
      </c>
      <c r="V210" s="204"/>
      <c r="W210" s="203">
        <v>403.80000000000001</v>
      </c>
      <c r="X210" s="204"/>
      <c r="Y210" s="203">
        <v>262.19999999999999</v>
      </c>
      <c r="Z210" s="204"/>
      <c r="AA210" s="203">
        <v>64</v>
      </c>
      <c r="AB210" s="204"/>
      <c r="AC210" s="203">
        <v>52</v>
      </c>
      <c r="AD210" s="204"/>
      <c r="AE210" s="203">
        <v>99</v>
      </c>
      <c r="AF210" s="205">
        <v>6229.1000000000004</v>
      </c>
      <c r="AG210" s="114"/>
    </row>
    <row r="211" spans="1:33" ht="15">
      <c r="A211" t="s">
        <v>91</v>
      </c>
      <c r="F211" s="59" t="s">
        <v>180</v>
      </c>
      <c r="G211" s="31" t="s">
        <v>89</v>
      </c>
      <c r="H211" s="107"/>
      <c r="I211" s="70">
        <v>245.75</v>
      </c>
      <c r="J211" s="107"/>
      <c r="K211" s="70">
        <v>199.67500000000001</v>
      </c>
      <c r="L211" s="107"/>
      <c r="M211" s="70">
        <v>199.68000000000001</v>
      </c>
      <c r="N211" s="107"/>
      <c r="O211" s="70">
        <v>163.07499999999999</v>
      </c>
      <c r="P211" s="107"/>
      <c r="Q211" s="70">
        <v>159.375</v>
      </c>
      <c r="R211" s="107"/>
      <c r="S211" s="70">
        <v>144.07999999999998</v>
      </c>
      <c r="T211" s="107"/>
      <c r="U211" s="70">
        <v>139.44999999999999</v>
      </c>
      <c r="V211" s="107"/>
      <c r="W211" s="70">
        <v>100.95</v>
      </c>
      <c r="X211" s="107"/>
      <c r="Y211" s="70">
        <v>52.439999999999998</v>
      </c>
      <c r="Z211" s="107"/>
      <c r="AA211" s="70">
        <v>16</v>
      </c>
      <c r="AB211" s="107"/>
      <c r="AC211" s="70">
        <v>13</v>
      </c>
      <c r="AD211" s="107"/>
      <c r="AE211" s="70">
        <v>19.800000000000001</v>
      </c>
      <c r="AF211" s="95">
        <v>119.79038461538462</v>
      </c>
      <c r="AG211" s="114"/>
    </row>
    <row r="212" spans="1:33" ht="15">
      <c r="A212" t="s">
        <v>92</v>
      </c>
      <c r="F212" s="59" t="s">
        <v>180</v>
      </c>
      <c r="G212" s="31" t="s">
        <v>49</v>
      </c>
      <c r="H212" s="105"/>
      <c r="I212" s="110">
        <v>134</v>
      </c>
      <c r="J212" s="105"/>
      <c r="K212" s="110">
        <v>90</v>
      </c>
      <c r="L212" s="105"/>
      <c r="M212" s="110">
        <v>118</v>
      </c>
      <c r="N212" s="105"/>
      <c r="O212" s="110">
        <v>77</v>
      </c>
      <c r="P212" s="105"/>
      <c r="Q212" s="110">
        <v>71</v>
      </c>
      <c r="R212" s="105"/>
      <c r="S212" s="110">
        <v>78</v>
      </c>
      <c r="T212" s="105"/>
      <c r="U212" s="110">
        <v>52</v>
      </c>
      <c r="V212" s="105"/>
      <c r="W212" s="110">
        <v>37</v>
      </c>
      <c r="X212" s="105"/>
      <c r="Y212" s="110">
        <v>24</v>
      </c>
      <c r="Z212" s="105"/>
      <c r="AA212" s="110">
        <v>8</v>
      </c>
      <c r="AB212" s="105"/>
      <c r="AC212" s="110">
        <v>5</v>
      </c>
      <c r="AD212" s="105"/>
      <c r="AE212" s="110">
        <v>6</v>
      </c>
      <c r="AF212" s="112">
        <v>700</v>
      </c>
      <c r="AG212" s="115"/>
    </row>
    <row r="213" spans="1:33" ht="15">
      <c r="A213" t="s">
        <v>93</v>
      </c>
      <c r="F213" s="59" t="s">
        <v>180</v>
      </c>
      <c r="G213" s="31" t="s">
        <v>88</v>
      </c>
      <c r="H213" s="105"/>
      <c r="I213" s="110">
        <v>33.5</v>
      </c>
      <c r="J213" s="105"/>
      <c r="K213" s="110">
        <v>22.5</v>
      </c>
      <c r="L213" s="105"/>
      <c r="M213" s="110">
        <v>23.600000000000001</v>
      </c>
      <c r="N213" s="105"/>
      <c r="O213" s="110">
        <v>19.25</v>
      </c>
      <c r="P213" s="105"/>
      <c r="Q213" s="110">
        <v>17.75</v>
      </c>
      <c r="R213" s="105"/>
      <c r="S213" s="110">
        <v>15.6</v>
      </c>
      <c r="T213" s="105"/>
      <c r="U213" s="110">
        <v>13</v>
      </c>
      <c r="V213" s="105"/>
      <c r="W213" s="110">
        <v>9.25</v>
      </c>
      <c r="X213" s="105"/>
      <c r="Y213" s="110">
        <v>4.7999999999999998</v>
      </c>
      <c r="Z213" s="105"/>
      <c r="AA213" s="110">
        <v>2</v>
      </c>
      <c r="AB213" s="105"/>
      <c r="AC213" s="110">
        <v>1.25</v>
      </c>
      <c r="AD213" s="105"/>
      <c r="AE213" s="110">
        <v>1.2</v>
      </c>
      <c r="AF213" s="112">
        <v>13.461538461538462</v>
      </c>
      <c r="AG213" s="115"/>
    </row>
    <row r="214" spans="1:33" ht="15">
      <c r="A214" t="s">
        <v>94</v>
      </c>
      <c r="F214" s="59" t="s">
        <v>180</v>
      </c>
      <c r="G214" s="31" t="s">
        <v>44</v>
      </c>
      <c r="H214" s="106"/>
      <c r="I214" s="111">
        <v>0.5543959519291588</v>
      </c>
      <c r="J214" s="106"/>
      <c r="K214" s="111">
        <v>0.086371055495103363</v>
      </c>
      <c r="L214" s="106"/>
      <c r="M214" s="111">
        <v>0.98647035415837636</v>
      </c>
      <c r="N214" s="106"/>
      <c r="O214" s="111">
        <v>0.1953454278907823</v>
      </c>
      <c r="P214" s="106"/>
      <c r="Q214" s="111">
        <v>0.41729657625611377</v>
      </c>
      <c r="R214" s="106"/>
      <c r="S214" s="111">
        <v>-0.41677461139896366</v>
      </c>
      <c r="T214" s="106"/>
      <c r="U214" s="111">
        <v>-0.27275097783572366</v>
      </c>
      <c r="V214" s="106"/>
      <c r="W214" s="111">
        <v>-0.47990726429675423</v>
      </c>
      <c r="X214" s="106"/>
      <c r="Y214" s="111">
        <v>-0.72253968253968259</v>
      </c>
      <c r="Z214" s="106"/>
      <c r="AA214" s="111">
        <v>-0.91945633022904605</v>
      </c>
      <c r="AB214" s="106"/>
      <c r="AC214" s="111">
        <v>-0.94725096368431727</v>
      </c>
      <c r="AD214" s="106"/>
      <c r="AE214" s="111">
        <v>-0.94502138057422114</v>
      </c>
      <c r="AF214" s="113">
        <v>-0.38752654762841182</v>
      </c>
      <c r="AG214" s="116"/>
    </row>
    <row r="215" spans="1:33" ht="15">
      <c r="A215" t="s">
        <v>43</v>
      </c>
      <c r="F215" s="119" t="s">
        <v>180</v>
      </c>
      <c r="G215" s="120" t="s">
        <v>87</v>
      </c>
      <c r="H215" s="139"/>
      <c r="I215" s="122">
        <v>0.046875</v>
      </c>
      <c r="J215" s="121"/>
      <c r="K215" s="122">
        <v>-0.32835820895522388</v>
      </c>
      <c r="L215" s="121"/>
      <c r="M215" s="122">
        <v>0.59459459459459463</v>
      </c>
      <c r="N215" s="121"/>
      <c r="O215" s="122">
        <v>0.11594202898550725</v>
      </c>
      <c r="P215" s="121"/>
      <c r="Q215" s="122">
        <v>0.16393442622950818</v>
      </c>
      <c r="R215" s="121"/>
      <c r="S215" s="122">
        <v>-0.53293413173652693</v>
      </c>
      <c r="T215" s="121"/>
      <c r="U215" s="122">
        <v>-0.50943396226415094</v>
      </c>
      <c r="V215" s="121"/>
      <c r="W215" s="122">
        <v>-0.69166666666666665</v>
      </c>
      <c r="X215" s="121"/>
      <c r="Y215" s="122">
        <v>-0.81679389312977102</v>
      </c>
      <c r="Z215" s="121"/>
      <c r="AA215" s="122">
        <v>-0.93700787401574803</v>
      </c>
      <c r="AB215" s="121"/>
      <c r="AC215" s="122">
        <v>-0.96551724137931039</v>
      </c>
      <c r="AD215" s="121"/>
      <c r="AE215" s="122">
        <v>-0.97959183673469385</v>
      </c>
      <c r="AF215" s="123">
        <v>-0.55012853470437018</v>
      </c>
      <c r="AG215" s="116"/>
    </row>
    <row r="216" spans="1:33" ht="15">
      <c r="A216" t="s">
        <v>90</v>
      </c>
      <c r="F216" s="157" t="s">
        <v>181</v>
      </c>
      <c r="G216" s="199" t="s">
        <v>45</v>
      </c>
      <c r="H216" s="202"/>
      <c r="I216" s="203">
        <v>7573</v>
      </c>
      <c r="J216" s="204"/>
      <c r="K216" s="203">
        <v>6560.9300000000003</v>
      </c>
      <c r="L216" s="204"/>
      <c r="M216" s="203">
        <v>6503.7799999999997</v>
      </c>
      <c r="N216" s="204"/>
      <c r="O216" s="203">
        <v>5055.8500000000004</v>
      </c>
      <c r="P216" s="204"/>
      <c r="Q216" s="203">
        <v>7661.4500000000007</v>
      </c>
      <c r="R216" s="204"/>
      <c r="S216" s="203">
        <v>5468.2900000000009</v>
      </c>
      <c r="T216" s="204"/>
      <c r="U216" s="203">
        <v>11851.07</v>
      </c>
      <c r="V216" s="204"/>
      <c r="W216" s="203">
        <v>8425.7099999999991</v>
      </c>
      <c r="X216" s="204"/>
      <c r="Y216" s="203">
        <v>8077.1999999999998</v>
      </c>
      <c r="Z216" s="204"/>
      <c r="AA216" s="203">
        <v>9845.3500000000004</v>
      </c>
      <c r="AB216" s="204"/>
      <c r="AC216" s="203">
        <v>8475.7599999999984</v>
      </c>
      <c r="AD216" s="204"/>
      <c r="AE216" s="203">
        <v>13834.719999999999</v>
      </c>
      <c r="AF216" s="205">
        <v>99333.109999999971</v>
      </c>
      <c r="AG216" s="114"/>
    </row>
    <row r="217" spans="1:33" ht="15">
      <c r="A217" t="s">
        <v>91</v>
      </c>
      <c r="F217" s="59" t="s">
        <v>181</v>
      </c>
      <c r="G217" s="31" t="s">
        <v>89</v>
      </c>
      <c r="H217" s="107"/>
      <c r="I217" s="70">
        <v>1893.25</v>
      </c>
      <c r="J217" s="107"/>
      <c r="K217" s="70">
        <v>1640.2325000000001</v>
      </c>
      <c r="L217" s="107"/>
      <c r="M217" s="70">
        <v>1300.7559999999999</v>
      </c>
      <c r="N217" s="107"/>
      <c r="O217" s="70">
        <v>1263.9625000000001</v>
      </c>
      <c r="P217" s="107"/>
      <c r="Q217" s="70">
        <v>1915.3625000000002</v>
      </c>
      <c r="R217" s="107"/>
      <c r="S217" s="70">
        <v>1093.6580000000001</v>
      </c>
      <c r="T217" s="107"/>
      <c r="U217" s="70">
        <v>2962.7674999999999</v>
      </c>
      <c r="V217" s="107"/>
      <c r="W217" s="70">
        <v>2106.4274999999998</v>
      </c>
      <c r="X217" s="107"/>
      <c r="Y217" s="70">
        <v>1615.4400000000001</v>
      </c>
      <c r="Z217" s="107"/>
      <c r="AA217" s="70">
        <v>2461.3375000000001</v>
      </c>
      <c r="AB217" s="107"/>
      <c r="AC217" s="70">
        <v>2118.9399999999996</v>
      </c>
      <c r="AD217" s="107"/>
      <c r="AE217" s="70">
        <v>2766.944</v>
      </c>
      <c r="AF217" s="95">
        <v>1910.2521153846151</v>
      </c>
      <c r="AG217" s="114"/>
    </row>
    <row r="218" spans="1:33" ht="15">
      <c r="A218" t="s">
        <v>92</v>
      </c>
      <c r="F218" s="59" t="s">
        <v>181</v>
      </c>
      <c r="G218" s="31" t="s">
        <v>49</v>
      </c>
      <c r="H218" s="105"/>
      <c r="I218" s="110">
        <v>743</v>
      </c>
      <c r="J218" s="105"/>
      <c r="K218" s="110">
        <v>679</v>
      </c>
      <c r="L218" s="105"/>
      <c r="M218" s="110">
        <v>681</v>
      </c>
      <c r="N218" s="105"/>
      <c r="O218" s="110">
        <v>554</v>
      </c>
      <c r="P218" s="105"/>
      <c r="Q218" s="110">
        <v>695</v>
      </c>
      <c r="R218" s="105"/>
      <c r="S218" s="110">
        <v>449</v>
      </c>
      <c r="T218" s="105"/>
      <c r="U218" s="110">
        <v>642</v>
      </c>
      <c r="V218" s="105"/>
      <c r="W218" s="110">
        <v>493</v>
      </c>
      <c r="X218" s="105"/>
      <c r="Y218" s="110">
        <v>483</v>
      </c>
      <c r="Z218" s="105"/>
      <c r="AA218" s="110">
        <v>742</v>
      </c>
      <c r="AB218" s="105"/>
      <c r="AC218" s="110">
        <v>611</v>
      </c>
      <c r="AD218" s="105"/>
      <c r="AE218" s="110">
        <v>1075</v>
      </c>
      <c r="AF218" s="112">
        <v>7847</v>
      </c>
      <c r="AG218" s="115"/>
    </row>
    <row r="219" spans="1:33" ht="15">
      <c r="A219" t="s">
        <v>93</v>
      </c>
      <c r="F219" s="59" t="s">
        <v>181</v>
      </c>
      <c r="G219" s="31" t="s">
        <v>88</v>
      </c>
      <c r="H219" s="105"/>
      <c r="I219" s="110">
        <v>185.75</v>
      </c>
      <c r="J219" s="105"/>
      <c r="K219" s="110">
        <v>169.75</v>
      </c>
      <c r="L219" s="105"/>
      <c r="M219" s="110">
        <v>136.19999999999999</v>
      </c>
      <c r="N219" s="105"/>
      <c r="O219" s="110">
        <v>138.5</v>
      </c>
      <c r="P219" s="105"/>
      <c r="Q219" s="110">
        <v>173.75</v>
      </c>
      <c r="R219" s="105"/>
      <c r="S219" s="110">
        <v>89.799999999999997</v>
      </c>
      <c r="T219" s="105"/>
      <c r="U219" s="110">
        <v>160.5</v>
      </c>
      <c r="V219" s="105"/>
      <c r="W219" s="110">
        <v>123.25</v>
      </c>
      <c r="X219" s="105"/>
      <c r="Y219" s="110">
        <v>96.599999999999994</v>
      </c>
      <c r="Z219" s="105"/>
      <c r="AA219" s="110">
        <v>185.5</v>
      </c>
      <c r="AB219" s="105"/>
      <c r="AC219" s="110">
        <v>152.75</v>
      </c>
      <c r="AD219" s="105"/>
      <c r="AE219" s="110">
        <v>215</v>
      </c>
      <c r="AF219" s="112">
        <v>150.90384615384616</v>
      </c>
      <c r="AG219" s="115"/>
    </row>
    <row r="220" spans="1:33" ht="15">
      <c r="A220" t="s">
        <v>94</v>
      </c>
      <c r="F220" s="59" t="s">
        <v>181</v>
      </c>
      <c r="G220" s="31" t="s">
        <v>44</v>
      </c>
      <c r="H220" s="106"/>
      <c r="I220" s="111">
        <v>0.65037287574150193</v>
      </c>
      <c r="J220" s="106"/>
      <c r="K220" s="111">
        <v>0.4238098441626646</v>
      </c>
      <c r="L220" s="106"/>
      <c r="M220" s="111">
        <v>0.0443410344849735</v>
      </c>
      <c r="N220" s="106"/>
      <c r="O220" s="111">
        <v>0.045389789365076504</v>
      </c>
      <c r="P220" s="106"/>
      <c r="Q220" s="111">
        <v>0.73684127005717348</v>
      </c>
      <c r="R220" s="106"/>
      <c r="S220" s="111">
        <v>-0.30996621941355279</v>
      </c>
      <c r="T220" s="106"/>
      <c r="U220" s="111">
        <v>0.37081231514500973</v>
      </c>
      <c r="V220" s="106"/>
      <c r="W220" s="111">
        <v>0.25840822160456278</v>
      </c>
      <c r="X220" s="106"/>
      <c r="Y220" s="111">
        <v>0.12955509748586869</v>
      </c>
      <c r="Z220" s="106"/>
      <c r="AA220" s="111">
        <v>0.2744657660503193</v>
      </c>
      <c r="AB220" s="106"/>
      <c r="AC220" s="111">
        <v>0.10766448159416177</v>
      </c>
      <c r="AD220" s="106"/>
      <c r="AE220" s="111">
        <v>0.55280891814112609</v>
      </c>
      <c r="AF220" s="113">
        <v>0.25144816605528231</v>
      </c>
      <c r="AG220" s="116"/>
    </row>
    <row r="221" spans="1:33" ht="15">
      <c r="A221" t="s">
        <v>43</v>
      </c>
      <c r="F221" s="119" t="s">
        <v>181</v>
      </c>
      <c r="G221" s="120" t="s">
        <v>87</v>
      </c>
      <c r="H221" s="139"/>
      <c r="I221" s="122">
        <v>0.59442060085836912</v>
      </c>
      <c r="J221" s="121"/>
      <c r="K221" s="122">
        <v>0.40871369294605808</v>
      </c>
      <c r="L221" s="121"/>
      <c r="M221" s="122">
        <v>0.24043715846994534</v>
      </c>
      <c r="N221" s="121"/>
      <c r="O221" s="122">
        <v>0.3446601941747573</v>
      </c>
      <c r="P221" s="121"/>
      <c r="Q221" s="122">
        <v>0.78205128205128205</v>
      </c>
      <c r="R221" s="121"/>
      <c r="S221" s="122">
        <v>-0.31554878048780488</v>
      </c>
      <c r="T221" s="121"/>
      <c r="U221" s="122">
        <v>-0.12653061224489795</v>
      </c>
      <c r="V221" s="121"/>
      <c r="W221" s="122">
        <v>-0.11490125673249552</v>
      </c>
      <c r="X221" s="121"/>
      <c r="Y221" s="122">
        <v>-0.21463414634146341</v>
      </c>
      <c r="Z221" s="121"/>
      <c r="AA221" s="122">
        <v>-0.058375634517766499</v>
      </c>
      <c r="AB221" s="121"/>
      <c r="AC221" s="122">
        <v>-0.20442708333333334</v>
      </c>
      <c r="AD221" s="121"/>
      <c r="AE221" s="122">
        <v>0.076076076076076082</v>
      </c>
      <c r="AF221" s="123">
        <v>0.057974922475394361</v>
      </c>
      <c r="AG221" s="116"/>
    </row>
  </sheetData>
  <mergeCells count="38">
    <mergeCell ref="AB191:AC191"/>
    <mergeCell ref="AD191:AE191"/>
    <mergeCell ref="R191:S191"/>
    <mergeCell ref="T191:U191"/>
    <mergeCell ref="V191:W191"/>
    <mergeCell ref="X191:Y191"/>
    <mergeCell ref="Z191:AA191"/>
    <mergeCell ref="N34:O34"/>
    <mergeCell ref="P34:Q34"/>
    <mergeCell ref="N35:O35"/>
    <mergeCell ref="P35:Q35"/>
    <mergeCell ref="H191:I191"/>
    <mergeCell ref="J191:K191"/>
    <mergeCell ref="L191:M191"/>
    <mergeCell ref="N191:O191"/>
    <mergeCell ref="P191:Q191"/>
    <mergeCell ref="H35:I35"/>
    <mergeCell ref="J35:K35"/>
    <mergeCell ref="L35:M35"/>
    <mergeCell ref="H34:I34"/>
    <mergeCell ref="J34:K34"/>
    <mergeCell ref="L34:M34"/>
    <mergeCell ref="R35:S35"/>
    <mergeCell ref="T35:U35"/>
    <mergeCell ref="V35:W35"/>
    <mergeCell ref="X35:Y35"/>
    <mergeCell ref="R34:S34"/>
    <mergeCell ref="T34:U34"/>
    <mergeCell ref="V34:W34"/>
    <mergeCell ref="X34:Y34"/>
    <mergeCell ref="AF35:AG35"/>
    <mergeCell ref="AF34:AG34"/>
    <mergeCell ref="AD34:AE34"/>
    <mergeCell ref="Z34:AA34"/>
    <mergeCell ref="AB34:AC34"/>
    <mergeCell ref="Z35:AA35"/>
    <mergeCell ref="AB35:AC35"/>
    <mergeCell ref="AD35:AE35"/>
  </mergeCells>
  <pageMargins left="0.708661417322835" right="0.708661417322835" top="0.748031496062992" bottom="0.748031496062992" header="0.31496062992126" footer="0.31496062992126"/>
  <pageSetup fitToHeight="30" orientation="landscape" paperSize="9" scale="37" r:id="rId1"/>
  <customProperties>
    <customPr name="CUSTOMPROP:RWBOOKMARKNAME" r:id="rId2"/>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11</vt:i4>
      </vt:variant>
    </vt:vector>
  </HeadingPairs>
  <TitlesOfParts>
    <vt:vector size="11" baseType="lpstr">
      <vt:lpstr>Master</vt:lpstr>
      <vt:lpstr>Performance Summary</vt:lpstr>
      <vt:lpstr>Performance Summary by Month</vt:lpstr>
      <vt:lpstr>Category Sales</vt:lpstr>
      <vt:lpstr>Top 20</vt:lpstr>
      <vt:lpstr>New Product Launch Month</vt:lpstr>
      <vt:lpstr>New Product YTD</vt:lpstr>
      <vt:lpstr>Operation Summary</vt:lpstr>
      <vt:lpstr>Appendix</vt:lpstr>
      <vt:lpstr>Item Sales</vt:lpstr>
      <vt:lpstr>Store Sales</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 Bladeni</dc:creator>
  <cp:keywords/>
  <dc:description/>
  <cp:lastModifiedBy>Melody Mercer</cp:lastModifiedBy>
  <cp:lastPrinted>2019-07-08T06:10:35Z</cp:lastPrinted>
  <dcterms:created xsi:type="dcterms:W3CDTF">2018-12-03T01:42:38Z</dcterms:created>
  <dcterms:modified xsi:type="dcterms:W3CDTF">2026-01-04T04:24:56Z</dcterms:modified>
  <cp:category/>
</cp:coreProperties>
</file>